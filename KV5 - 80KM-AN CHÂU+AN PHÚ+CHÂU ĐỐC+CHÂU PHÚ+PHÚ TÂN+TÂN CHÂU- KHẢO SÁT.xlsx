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 PHƯỚC KTĐT\NĂM 2026\KHĐT\FTTx-PON\ĐỢT 2\KV5\"/>
    </mc:Choice>
  </mc:AlternateContent>
  <xr:revisionPtr revIDLastSave="0" documentId="13_ncr:1_{E448DFBA-C38B-40DF-9B76-B225020A2CCB}" xr6:coauthVersionLast="47" xr6:coauthVersionMax="47" xr10:uidLastSave="{00000000-0000-0000-0000-000000000000}"/>
  <bookViews>
    <workbookView xWindow="-108" yWindow="-108" windowWidth="23256" windowHeight="12456" tabRatio="930" xr2:uid="{F8541CED-86C7-4006-9E31-AAD6FE57FA2A}"/>
  </bookViews>
  <sheets>
    <sheet name="BẢNG TỔNG HỢP" sheetId="20" r:id="rId1"/>
    <sheet name="ACU_OK" sheetId="21" r:id="rId2"/>
    <sheet name="APU_OK" sheetId="31" r:id="rId3"/>
    <sheet name="CĐC_OK" sheetId="9" r:id="rId4"/>
    <sheet name="CPU_OK" sheetId="30" r:id="rId5"/>
    <sheet name="PTN_OK" sheetId="33" r:id="rId6"/>
    <sheet name="TCU_OK" sheetId="18" r:id="rId7"/>
  </sheets>
  <definedNames>
    <definedName name="_xlnm._FilterDatabase" localSheetId="1" hidden="1">ACU_OK!$A$5:$U$92</definedName>
    <definedName name="_xlnm._FilterDatabase" localSheetId="2" hidden="1">APU_OK!$A$5:$U$71</definedName>
    <definedName name="_xlnm._FilterDatabase" localSheetId="3" hidden="1">CĐC_OK!$A$5:$U$60</definedName>
    <definedName name="_xlnm._FilterDatabase" localSheetId="4" hidden="1">CPU_OK!$A$5:$U$89</definedName>
    <definedName name="_xlnm._FilterDatabase" localSheetId="5" hidden="1">PTN_OK!$A$5:$U$79</definedName>
    <definedName name="_xlnm._FilterDatabase" localSheetId="6" hidden="1">TCU_OK!$A$5:$U$44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8" l="1"/>
  <c r="Q5" i="18"/>
  <c r="P5" i="18"/>
  <c r="O5" i="18"/>
  <c r="N5" i="18"/>
  <c r="M5" i="18"/>
  <c r="L5" i="18"/>
  <c r="K5" i="18"/>
  <c r="R5" i="33"/>
  <c r="Q5" i="33"/>
  <c r="P5" i="33"/>
  <c r="O5" i="33"/>
  <c r="N5" i="33"/>
  <c r="M5" i="33"/>
  <c r="L5" i="33"/>
  <c r="K5" i="33"/>
  <c r="R5" i="9"/>
  <c r="Q5" i="9"/>
  <c r="P5" i="9"/>
  <c r="O5" i="9"/>
  <c r="N5" i="9"/>
  <c r="M5" i="9"/>
  <c r="L5" i="9"/>
  <c r="K5" i="9"/>
  <c r="R5" i="31"/>
  <c r="Q5" i="31"/>
  <c r="P5" i="31"/>
  <c r="O5" i="31"/>
  <c r="N5" i="31"/>
  <c r="M5" i="31"/>
  <c r="L5" i="31"/>
  <c r="K5" i="31"/>
  <c r="R5" i="30"/>
  <c r="Q5" i="30"/>
  <c r="P5" i="30"/>
  <c r="O5" i="30"/>
  <c r="N5" i="30"/>
  <c r="M5" i="30"/>
  <c r="L5" i="30"/>
  <c r="K5" i="30"/>
  <c r="R5" i="21"/>
  <c r="Q5" i="21"/>
  <c r="P5" i="21"/>
  <c r="O5" i="21"/>
  <c r="N5" i="21"/>
  <c r="M5" i="21"/>
  <c r="L5" i="21"/>
  <c r="K5" i="21"/>
  <c r="R3" i="33" l="1"/>
  <c r="Q3" i="33"/>
  <c r="J11" i="20" s="1"/>
  <c r="P3" i="33"/>
  <c r="I11" i="20" s="1"/>
  <c r="O3" i="33"/>
  <c r="H11" i="20" s="1"/>
  <c r="N3" i="33"/>
  <c r="G11" i="20" s="1"/>
  <c r="M3" i="33"/>
  <c r="L3" i="33"/>
  <c r="F11" i="20" s="1"/>
  <c r="K3" i="33"/>
  <c r="E11" i="20" s="1"/>
  <c r="R3" i="31"/>
  <c r="Q3" i="31"/>
  <c r="J9" i="20" s="1"/>
  <c r="P3" i="31"/>
  <c r="I9" i="20" s="1"/>
  <c r="O3" i="31"/>
  <c r="H9" i="20" s="1"/>
  <c r="N3" i="31"/>
  <c r="G9" i="20" s="1"/>
  <c r="M3" i="31"/>
  <c r="L3" i="31"/>
  <c r="F9" i="20" s="1"/>
  <c r="K3" i="31"/>
  <c r="E9" i="20" s="1"/>
  <c r="R3" i="30"/>
  <c r="Q3" i="30"/>
  <c r="P3" i="30"/>
  <c r="O3" i="30"/>
  <c r="N3" i="30"/>
  <c r="M3" i="30"/>
  <c r="L3" i="30"/>
  <c r="K3" i="30"/>
  <c r="K9" i="20" l="1"/>
  <c r="K11" i="20"/>
  <c r="J8" i="20"/>
  <c r="G8" i="20"/>
  <c r="F8" i="20"/>
  <c r="I8" i="20"/>
  <c r="E8" i="20"/>
  <c r="H8" i="20"/>
  <c r="K8" i="20" l="1"/>
  <c r="L3" i="21"/>
  <c r="F7" i="20" s="1"/>
  <c r="M3" i="21"/>
  <c r="N3" i="21"/>
  <c r="G7" i="20" s="1"/>
  <c r="O3" i="21"/>
  <c r="H7" i="20" s="1"/>
  <c r="P3" i="21"/>
  <c r="I7" i="20" s="1"/>
  <c r="Q3" i="21"/>
  <c r="J7" i="20" s="1"/>
  <c r="R3" i="21"/>
  <c r="K3" i="21"/>
  <c r="E7" i="20" s="1"/>
  <c r="K7" i="20" l="1"/>
  <c r="L3" i="18" l="1"/>
  <c r="M3" i="18"/>
  <c r="N3" i="18"/>
  <c r="O3" i="18"/>
  <c r="P3" i="18"/>
  <c r="Q3" i="18"/>
  <c r="R3" i="18"/>
  <c r="K3" i="18"/>
  <c r="H12" i="20" l="1"/>
  <c r="F12" i="20"/>
  <c r="J12" i="20"/>
  <c r="E12" i="20"/>
  <c r="G12" i="20"/>
  <c r="I12" i="20"/>
  <c r="K12" i="20" l="1"/>
  <c r="L3" i="9" l="1"/>
  <c r="M3" i="9"/>
  <c r="N3" i="9"/>
  <c r="O3" i="9"/>
  <c r="P3" i="9"/>
  <c r="Q3" i="9"/>
  <c r="R3" i="9"/>
  <c r="K3" i="9"/>
  <c r="H10" i="20" l="1"/>
  <c r="H13" i="20" s="1"/>
  <c r="H6" i="20" s="1"/>
  <c r="G10" i="20"/>
  <c r="G13" i="20" s="1"/>
  <c r="G6" i="20" s="1"/>
  <c r="E10" i="20"/>
  <c r="F10" i="20"/>
  <c r="F13" i="20" s="1"/>
  <c r="F6" i="20" s="1"/>
  <c r="J10" i="20"/>
  <c r="J13" i="20" s="1"/>
  <c r="J6" i="20" s="1"/>
  <c r="I10" i="20"/>
  <c r="I13" i="20" s="1"/>
  <c r="I6" i="20" s="1"/>
  <c r="K10" i="20" l="1"/>
  <c r="E13" i="20"/>
  <c r="E6" i="20" s="1"/>
  <c r="K13" i="20" l="1"/>
  <c r="K6" i="20"/>
</calcChain>
</file>

<file path=xl/sharedStrings.xml><?xml version="1.0" encoding="utf-8"?>
<sst xmlns="http://schemas.openxmlformats.org/spreadsheetml/2006/main" count="3689" uniqueCount="775">
  <si>
    <t>Ghi chú</t>
  </si>
  <si>
    <t>TCH013</t>
  </si>
  <si>
    <t>TCH004</t>
  </si>
  <si>
    <t>STT</t>
  </si>
  <si>
    <t>CTH021</t>
  </si>
  <si>
    <t>APH004</t>
  </si>
  <si>
    <t>TUYẾN TỔNG HỢP</t>
  </si>
  <si>
    <t>Đơn vị</t>
  </si>
  <si>
    <t>OLT</t>
  </si>
  <si>
    <t>ĐIỂM ĐẦU A</t>
  </si>
  <si>
    <t>ĐIỂM ĐẦU B</t>
  </si>
  <si>
    <t>Long</t>
  </si>
  <si>
    <t>lat</t>
  </si>
  <si>
    <t>SP 1:4</t>
  </si>
  <si>
    <t>SP 1: 16</t>
  </si>
  <si>
    <t>ODF</t>
  </si>
  <si>
    <t>KDC nvc - KDC NVC 2</t>
  </si>
  <si>
    <t>UBND XA CÔ TÔ - NGUYỄN THỊ SÁNG</t>
  </si>
  <si>
    <t>TTO021 - TÂM SỬA XE HÀN TIỆN</t>
  </si>
  <si>
    <t>TTO008 - THCS LQI 2</t>
  </si>
  <si>
    <t>TTN.LQI.OLT.A21.1.7.3_Cầu Lạc Quới 2 - VĨNH LỘC 3</t>
  </si>
  <si>
    <t>ODF 6FO Sáu Chầu - S2-Sáu Chầu 8</t>
  </si>
  <si>
    <t>CTH008</t>
  </si>
  <si>
    <t>6FO hướng Vĩnh Hoà - S2-Trên cao tốc Kênh Ngang Huệ Đức</t>
  </si>
  <si>
    <t>ODF 6F0 CTH019 hướng Vĩnh Thành - S2-Kênh Ba Mạnh</t>
  </si>
  <si>
    <t>PTN.PLG.OLT.ZT11.1.11.2_Đường ra số 5 - Phong 1_1</t>
  </si>
  <si>
    <t>PTN.PLG.OLT.ZT11.1.8.1_Kho Phước Thành - CX Khánh Phương</t>
  </si>
  <si>
    <t>VT PHÚ THÀNH - Phong 24</t>
  </si>
  <si>
    <t>Nhà Trọ Tú Anh - Nhà Thị Hạnh</t>
  </si>
  <si>
    <t>Cà Phê Thanh Thảo 2 - Cổng Chùa Sóc Tức</t>
  </si>
  <si>
    <t>Ngã 4 Ba Xoài - Nhà Mẹ Chị Liễu</t>
  </si>
  <si>
    <t>Ngã 4 Chùa Hoạch Cô - Nhà Hài Tân</t>
  </si>
  <si>
    <t>Ngã 4 Bà Dững - Nhà Trọ Tú Anh</t>
  </si>
  <si>
    <t>Đầu Xóm Cây Khoa - Xóm Trong Cây Khoa</t>
  </si>
  <si>
    <t>TH Cây Khoa - Sau Trường Học</t>
  </si>
  <si>
    <t>BTS023 - Sau BTS Viettel</t>
  </si>
  <si>
    <t>Cua Vp Ấp - Trụ Điện 76</t>
  </si>
  <si>
    <t>BTS032 - Đi vô hẽm</t>
  </si>
  <si>
    <t>Ngã 4 Xoài Chek - Cây Khoa 2</t>
  </si>
  <si>
    <t>Ngã 4 Xoài Chek - Cây Khoa 3</t>
  </si>
  <si>
    <t>Ngã 4 Xoài Chek - Cây Khoa 4</t>
  </si>
  <si>
    <t>Ngã 4 Xoài Chek - Cây Khoa 5</t>
  </si>
  <si>
    <t>Pon A Tâm - Pon A Nghĩa</t>
  </si>
  <si>
    <t>Trạm CMO048 - Tuấn Bưu tá</t>
  </si>
  <si>
    <t>Cầu Kênh Xáng AB - Cầu Kênh Xáng AB 5</t>
  </si>
  <si>
    <t>TUYẾN MỚI ĐƠN VỊ NHU CẦU KHẨN CẤP THÊM</t>
  </si>
  <si>
    <t>Cầu T7 - Kênh T7</t>
  </si>
  <si>
    <t>Dưới Bến Đò DT - PON Thị Đầy</t>
  </si>
  <si>
    <t>Trạm 024 - Tủ BS Bình</t>
  </si>
  <si>
    <t>Vĩnh Bình 1 - Vĩnh Bình 6</t>
  </si>
  <si>
    <t>007 - K2 Chủ Mỹ OLT - S2-007 - K2 Chủ Mỹ 4 Cuối</t>
  </si>
  <si>
    <t>007 - K2 Chủ Mỹ OLT - S2-007 - K1 Chủ Mỹ 8 CUỐI</t>
  </si>
  <si>
    <t>007 - K7 Chủ Mỹ OLT - S2-007 - K7 Chủ Mỹ 8 CUỐI</t>
  </si>
  <si>
    <t>Trạm Phú Vĩnh -Đường đất Phú Vĩnh 25</t>
  </si>
  <si>
    <t>Tủ 96 Cốn Phó 3 - Cốn Phó 3_7</t>
  </si>
  <si>
    <t>Tủ 24FO Thắng Lợi 2 - Cây Xăng Hoà Bình 2</t>
  </si>
  <si>
    <t>APH027</t>
  </si>
  <si>
    <t>Tuyến Kênh 1 Mỹ Hòa</t>
  </si>
  <si>
    <t>Tuyến trạm Bơm Kênh 2 Mỹ Đức</t>
  </si>
  <si>
    <t>Đập tràn Vĩnh Thạnh</t>
  </si>
  <si>
    <t>Tuyến dân cư Phú Lợi</t>
  </si>
  <si>
    <t>Tuyến Búng Lớn - BBT</t>
  </si>
  <si>
    <t>Bến đò Dung Thăng</t>
  </si>
  <si>
    <t>Tuyến mới</t>
  </si>
  <si>
    <t>Nâng dung lượng + PTM</t>
  </si>
  <si>
    <t>Tọa độ A</t>
  </si>
  <si>
    <t>Tọa độ B</t>
  </si>
  <si>
    <t>Thông tin bên Biểu 3_MẠNg GPON</t>
  </si>
  <si>
    <t>VTAG - TỔNG HỢP NHU CẦU CÁP QUANG GPON 2026</t>
  </si>
  <si>
    <t>Cáp quang 6FO(m)</t>
  </si>
  <si>
    <t>Cáp quang 12FO(m)</t>
  </si>
  <si>
    <t>Cáp quang 24FO(m)</t>
  </si>
  <si>
    <t>SP 1: 8 (S1)</t>
  </si>
  <si>
    <t>SP 1: 8 (S2)</t>
  </si>
  <si>
    <t>TỔNG CỘNG:</t>
  </si>
  <si>
    <t>Châu Đốc</t>
  </si>
  <si>
    <t>Trạm Mỹ An</t>
  </si>
  <si>
    <t>trạm Mỹ An</t>
  </si>
  <si>
    <t>cách trạm Mỹ An 100m</t>
  </si>
  <si>
    <t>Xéo quán nhậu thảo lê</t>
  </si>
  <si>
    <t>ngã 3 ra trạm 036</t>
  </si>
  <si>
    <t>xéo sửa xe Hoàng Phú</t>
  </si>
  <si>
    <t>Vườn sen nốc nhà xanh</t>
  </si>
  <si>
    <t>Hầm cá mỹ an</t>
  </si>
  <si>
    <t>gần cua mỹ an - mỹ hòa</t>
  </si>
  <si>
    <t>VTNN Tư Hồng</t>
  </si>
  <si>
    <t>băng sông kênh 2</t>
  </si>
  <si>
    <t>ĐD KDC Mỹ An bờ mỹ đức</t>
  </si>
  <si>
    <t>băng sông quẹo phải 400m</t>
  </si>
  <si>
    <t>hồ bao da phước</t>
  </si>
  <si>
    <t>xéo câu lạc bộ Friendly</t>
  </si>
  <si>
    <t>xéo trạm 008 hướng kênh đào</t>
  </si>
  <si>
    <t>xéo trạm 008 hướng kênh 4</t>
  </si>
  <si>
    <t>tr Tiểu Học D Mỹ Đức</t>
  </si>
  <si>
    <t>VTNN Hòa Hưng</t>
  </si>
  <si>
    <t>VTNN Hòa Hưng vào 200m</t>
  </si>
  <si>
    <t>Xéo ngã 3 kênh đê bao</t>
  </si>
  <si>
    <t>Đd tạp hóa tuyết loan</t>
  </si>
  <si>
    <t>Cách tạp hóa Tuyết em 50m hướng k5</t>
  </si>
  <si>
    <t>Trạm Vĩnh Châu</t>
  </si>
  <si>
    <t>Anh Nguyễn</t>
  </si>
  <si>
    <t>Anh Nguyễn ra 150m</t>
  </si>
  <si>
    <t>ĐD CX Đoàn Minh Tộc</t>
  </si>
  <si>
    <t>ĐD CX Đoàn Minh Tộc ra 200m</t>
  </si>
  <si>
    <t>Biệt thự k5</t>
  </si>
  <si>
    <t>Trạm xăng k5</t>
  </si>
  <si>
    <t>Ngã 3 kênh Xuất Khẩu Mỹ Thuận</t>
  </si>
  <si>
    <t>Cầu dây k5</t>
  </si>
  <si>
    <t>Cầu dây k5 vào 200m</t>
  </si>
  <si>
    <t>Trạm AGCD20</t>
  </si>
  <si>
    <t>Trạm AGCD20 vào 200m</t>
  </si>
  <si>
    <t>xéo KDC chợ LONG BÌNH</t>
  </si>
  <si>
    <t>Trạm Châu Đốc</t>
  </si>
  <si>
    <t>Tủ 300 NVT</t>
  </si>
  <si>
    <t>Cửa hàng đồ chơi gia Dũ</t>
  </si>
  <si>
    <t>Xôi gà Cô Hồng</t>
  </si>
  <si>
    <t>LUCY SPA Châu Đốc</t>
  </si>
  <si>
    <t>Khá Thuận</t>
  </si>
  <si>
    <t>Nhà thước Khôi Nguyên</t>
  </si>
  <si>
    <t>Thẩm Mỹ Viện VENUS</t>
  </si>
  <si>
    <t>Nem nướng 6 Hiệp</t>
  </si>
  <si>
    <t>Cửa hàng Thành Trung</t>
  </si>
  <si>
    <t>Cửa hàng Nguyễn Ngô</t>
  </si>
  <si>
    <t>Thức ăn gia sux1 Thanh Bình</t>
  </si>
  <si>
    <t>Kho dược Phương Huy</t>
  </si>
  <si>
    <t>Café Hương Quê</t>
  </si>
  <si>
    <t>Nhà Nghỉ Biển Đông</t>
  </si>
  <si>
    <t>TTVT Châu Đốc</t>
  </si>
  <si>
    <t>Đầu Chợ Ba Đúc</t>
  </si>
  <si>
    <t>TVT Châu Đốc</t>
  </si>
  <si>
    <t>184 Trần Hưng Đạo</t>
  </si>
  <si>
    <t>Ngã 3 NĐC - THĐ</t>
  </si>
  <si>
    <t>An Phú</t>
  </si>
  <si>
    <t>Nhập trạm 004</t>
  </si>
  <si>
    <t>Ấp Vĩnh Khánh</t>
  </si>
  <si>
    <t xml:space="preserve">10.915060, </t>
  </si>
  <si>
    <t>Bàn bida</t>
  </si>
  <si>
    <t>Nhà thầy tưởng</t>
  </si>
  <si>
    <t>Nhà anh Thắng</t>
  </si>
  <si>
    <t>Café Aysa</t>
  </si>
  <si>
    <t>VTNN CaLy</t>
  </si>
  <si>
    <t>Thánh Đường Lớn</t>
  </si>
  <si>
    <t>Chùa Chăm BBT</t>
  </si>
  <si>
    <t>Cổng Chào</t>
  </si>
  <si>
    <t>Ấp 3 BBT</t>
  </si>
  <si>
    <t>Nhà anh Thơ</t>
  </si>
  <si>
    <t>Trạm APH034</t>
  </si>
  <si>
    <t>Game Dũng</t>
  </si>
  <si>
    <t>Rửa xe Tài</t>
  </si>
  <si>
    <t>Nhà Nghỉ Kiều Oanh</t>
  </si>
  <si>
    <t>Nhà Yến</t>
  </si>
  <si>
    <t>APH014</t>
  </si>
  <si>
    <t>Trường Mẫu Giáo</t>
  </si>
  <si>
    <t>Salon Mai Thảo</t>
  </si>
  <si>
    <t>KDC 1</t>
  </si>
  <si>
    <t>KDC 2</t>
  </si>
  <si>
    <t>KDC 3</t>
  </si>
  <si>
    <t>Dưới Bến Đò DT</t>
  </si>
  <si>
    <t>Út Hiếu</t>
  </si>
  <si>
    <t>Nhà 875</t>
  </si>
  <si>
    <t>Nhà Yến 2</t>
  </si>
  <si>
    <t>PON Văn Trọng</t>
  </si>
  <si>
    <t>Trên Ban Trị Sự</t>
  </si>
  <si>
    <t>Dưới Ban Trị Sự</t>
  </si>
  <si>
    <t>PON Văn Kháng</t>
  </si>
  <si>
    <t>PON Thị Đầy</t>
  </si>
  <si>
    <t>APH067</t>
  </si>
  <si>
    <t>Đầu KDC kan</t>
  </si>
  <si>
    <t>Phế liệu</t>
  </si>
  <si>
    <t>105.10915324</t>
  </si>
  <si>
    <t>10.95061633</t>
  </si>
  <si>
    <t>105.10851073</t>
  </si>
  <si>
    <t>10.95341289</t>
  </si>
  <si>
    <t>Vựa xoài Tuyền Tiến</t>
  </si>
  <si>
    <t>105.10836813</t>
  </si>
  <si>
    <t>10.95369508</t>
  </si>
  <si>
    <t>THCS Kan</t>
  </si>
  <si>
    <t>105.10773281</t>
  </si>
  <si>
    <t>10.95503948</t>
  </si>
  <si>
    <t>VP ấp An Khánh</t>
  </si>
  <si>
    <t>105.10685349</t>
  </si>
  <si>
    <t>10.95620231</t>
  </si>
  <si>
    <t>APH010</t>
  </si>
  <si>
    <t>Tủ Hoàng Lĩnh</t>
  </si>
  <si>
    <t>Tủ Hai Hái</t>
  </si>
  <si>
    <t>Tủ Chú Trẩm</t>
  </si>
  <si>
    <t>Tủ Thầy Bền</t>
  </si>
  <si>
    <t>Tủ Thuốc BVTV Tường Vy</t>
  </si>
  <si>
    <t>Tủ A Đủ</t>
  </si>
  <si>
    <t>Tủ Đối Diện THCS VLC</t>
  </si>
  <si>
    <t>Tủ Trạm Mobi PT</t>
  </si>
  <si>
    <t>Tủ HTóc Thùy Linh</t>
  </si>
  <si>
    <t>Tủ Vườn  Mai</t>
  </si>
  <si>
    <t>bổ sung thêm</t>
  </si>
  <si>
    <t>KDC</t>
  </si>
  <si>
    <t>TTVT AN PHÚ</t>
  </si>
  <si>
    <t>TTVT CHÂU ĐỐC</t>
  </si>
  <si>
    <t>TTVT TÂN CHÂU</t>
  </si>
  <si>
    <t>Tân Châu</t>
  </si>
  <si>
    <t>Trạm Lê CHánh</t>
  </si>
  <si>
    <t>Chợ Lê Chánh 1</t>
  </si>
  <si>
    <t>Chợ Lê Chánh 2</t>
  </si>
  <si>
    <t>Chợ Lê Chánh 3</t>
  </si>
  <si>
    <t>Chợ Lê Chánh 4</t>
  </si>
  <si>
    <t>Chợ Lê Chánh 5</t>
  </si>
  <si>
    <t>Chợ Lê Chánh 6</t>
  </si>
  <si>
    <t>Chợ Lê Chánh 7</t>
  </si>
  <si>
    <t>Chợ Lê Chánh 8</t>
  </si>
  <si>
    <t>Chợ Lê Chánh 9</t>
  </si>
  <si>
    <t>Chợ Lê Chánh 10</t>
  </si>
  <si>
    <t>Chợ Lê Chánh 11</t>
  </si>
  <si>
    <t>Trạm Phú Vĩnh</t>
  </si>
  <si>
    <t>Long quới C 1</t>
  </si>
  <si>
    <t>Long quới C 3</t>
  </si>
  <si>
    <t>Long quới C 4</t>
  </si>
  <si>
    <t>Long quới C 5</t>
  </si>
  <si>
    <t>Long quới C 6</t>
  </si>
  <si>
    <t>Long quới C 8</t>
  </si>
  <si>
    <t>Tủ Hớt Tóc Minh Trí</t>
  </si>
  <si>
    <t>Long An A 1</t>
  </si>
  <si>
    <t>Long An A 2</t>
  </si>
  <si>
    <t>Long An A 3</t>
  </si>
  <si>
    <t>Long An A 4</t>
  </si>
  <si>
    <t>Phú Tân</t>
  </si>
  <si>
    <t>PTA024/24M</t>
  </si>
  <si>
    <t>AGG.PTN.024.OLT.ZT21.3.1.3_BTS PHP 02</t>
  </si>
  <si>
    <t>AGG.PTN.024.OLT.ZT21.3.1.1</t>
  </si>
  <si>
    <t>AGG.PTN.024.OLT.ZT21.3.1.4_Lò sấy Châu Phong</t>
  </si>
  <si>
    <t>AGG.PTN.024.OLT.ZT21.3.1.2</t>
  </si>
  <si>
    <t>AGG.PTN.024.OLT.ZT21.3.2.2</t>
  </si>
  <si>
    <t>AGG.PTN.024.OLT.ZT21.3.2.3_Cấp 2 PHP</t>
  </si>
  <si>
    <t>AGG.PTN.024.OLT.ZT21.3.2.4</t>
  </si>
  <si>
    <t>AGG.PTN.024.OLT.ZT21.3.2.1_Trương Tiểu học PHP</t>
  </si>
  <si>
    <t>AGG.PTN.024.OLT.ZT21.3.3.4_Thu Ba</t>
  </si>
  <si>
    <t>AGG.PTN.024.OLT.ZT21.3.3.1</t>
  </si>
  <si>
    <t>AGG.PTN.024.OLT.ZT21.3.3.3</t>
  </si>
  <si>
    <t>AGG.PTN.024.OLT.ZT21.3.3.2_KDC Phú Hiệp (dưới</t>
  </si>
  <si>
    <t>AGG.PTN.024.OLT.ZT21.3.4.2_Căn nhà màu đỏ</t>
  </si>
  <si>
    <t>AGG.PTN.024.OLT.ZT21.3.4.3</t>
  </si>
  <si>
    <t>AGG.PTN.024.OLT.ZT21.3.4.1_Điện cơ Tánh</t>
  </si>
  <si>
    <t>AGG.PTN.024.OLT.ZT21.3.4.4</t>
  </si>
  <si>
    <t>AGG.PTN.024.OLT.ZT21.3.6.1_Cây Xăng Nhân Dung</t>
  </si>
  <si>
    <t>AGG.PTN.024.OLT.ZT21.3.6.4</t>
  </si>
  <si>
    <t>AGG.PTN.024.OLT.ZT21.3.8.4_Vườn Mai</t>
  </si>
  <si>
    <t>AGG.PTN.024.OLT.ZT21.3.8.2</t>
  </si>
  <si>
    <t>PTA001/THA</t>
  </si>
  <si>
    <t>PTA015/PLG</t>
  </si>
  <si>
    <t>PTN.PLG.OLT.ZT11.1.16.2_đường ra HLC</t>
  </si>
  <si>
    <t>Phong 2</t>
  </si>
  <si>
    <t>105.227827</t>
  </si>
  <si>
    <t>10.725088</t>
  </si>
  <si>
    <t>PTN.PLG.OLT.ZT11.1.16.1_ranh PLG-HLC</t>
  </si>
  <si>
    <t>Phong 3</t>
  </si>
  <si>
    <t>105.216006</t>
  </si>
  <si>
    <t>10.717167</t>
  </si>
  <si>
    <t>PTN.PLG.OLT.ZT11.1.4.1_Thọ An</t>
  </si>
  <si>
    <t>PTN.PLG.OLT.ZT11.1.4.3_Trên Thọ An</t>
  </si>
  <si>
    <t>105.238381</t>
  </si>
  <si>
    <t>10.713129</t>
  </si>
  <si>
    <t>Phong 5</t>
  </si>
  <si>
    <t>PTN.PLG.OLT.ZT11.1.5.4_Hai Thái</t>
  </si>
  <si>
    <t>Phong 6</t>
  </si>
  <si>
    <t>105.239648</t>
  </si>
  <si>
    <t>10.709779</t>
  </si>
  <si>
    <t>PTA017/PTH</t>
  </si>
  <si>
    <t>PTN.PTH.OLT.ZT11.2.9.3_Mobi Phú Thành</t>
  </si>
  <si>
    <t>Phong 7</t>
  </si>
  <si>
    <t>105.241575</t>
  </si>
  <si>
    <t>10.704453</t>
  </si>
  <si>
    <t>PTN.PTH.OLT.ZT11.1.15.1_Ông Quới</t>
  </si>
  <si>
    <t>Phong 16</t>
  </si>
  <si>
    <t>105.243594</t>
  </si>
  <si>
    <t>10.698717</t>
  </si>
  <si>
    <t>PTN.PTH.OLT.ZT11.2.5.3_Ông Mơ</t>
  </si>
  <si>
    <t>PTN.PTH.OLT.ZT11.1.2.1_Bên sông Tuấn xã Đoàn</t>
  </si>
  <si>
    <t>105.245012</t>
  </si>
  <si>
    <t>10.695015</t>
  </si>
  <si>
    <t>105.243928</t>
  </si>
  <si>
    <t>10.696429</t>
  </si>
  <si>
    <t>PTN.PTH.OLT.ZT11.2.5.2_Ông Thứ</t>
  </si>
  <si>
    <t>105.2454</t>
  </si>
  <si>
    <t>10.692516</t>
  </si>
  <si>
    <t>Dưới Ông Thứ</t>
  </si>
  <si>
    <t>PTN.PTH.OLT.ZT11.1.5.3_Vườn Dừa</t>
  </si>
  <si>
    <t>105.246572</t>
  </si>
  <si>
    <t>10.689424</t>
  </si>
  <si>
    <t>PTN.PTH.OLT.ZT11.2.3.1_Tám Đậu</t>
  </si>
  <si>
    <t>Phong 8</t>
  </si>
  <si>
    <t>105.247823</t>
  </si>
  <si>
    <t>10.685964</t>
  </si>
  <si>
    <t>PTN.PTH.OLT.ZT11.1.9.1_Vũ Linh</t>
  </si>
  <si>
    <t>Phong 9</t>
  </si>
  <si>
    <t>105.247147</t>
  </si>
  <si>
    <t>10.679741</t>
  </si>
  <si>
    <t>PTN.PTH.OLT.ZT11.1.9.4_Vũ Linh 2</t>
  </si>
  <si>
    <t>105.244422</t>
  </si>
  <si>
    <t>10.678787</t>
  </si>
  <si>
    <t>PTN.PTH.OLT.ZT11.2.11.4_Ông Ngoan</t>
  </si>
  <si>
    <t>Phong 11</t>
  </si>
  <si>
    <t>105.254862</t>
  </si>
  <si>
    <t>10.673324</t>
  </si>
  <si>
    <t>PTN.PTH.OLT.ZT11.1.3.1_Bà Chi</t>
  </si>
  <si>
    <t>Phong 10</t>
  </si>
  <si>
    <t>105.25263</t>
  </si>
  <si>
    <t>10.675788</t>
  </si>
  <si>
    <t>PTA028/28M</t>
  </si>
  <si>
    <t>AGG.PTN.28M.OLT.ZT11.1.4.1_Chú Sút</t>
  </si>
  <si>
    <t>Phong 12</t>
  </si>
  <si>
    <t>105.269962</t>
  </si>
  <si>
    <t>10.651211</t>
  </si>
  <si>
    <t>AGG.PTN.28M.OLT.ZT11.1.4.2_2 cây me chua</t>
  </si>
  <si>
    <t>Phong 13</t>
  </si>
  <si>
    <t>105.270965</t>
  </si>
  <si>
    <t>10.650503</t>
  </si>
  <si>
    <t>AGG.PTN.28M.OLT.ZT11.1.4.3_Bác sĩ Dẻo</t>
  </si>
  <si>
    <t>Phong 17</t>
  </si>
  <si>
    <t>105.271035</t>
  </si>
  <si>
    <t>10.651872</t>
  </si>
  <si>
    <t>PTN.PTH.OLT.ZT11.1.7.3_Công An Phú Thành</t>
  </si>
  <si>
    <t>Phong 14</t>
  </si>
  <si>
    <t>PTN.PTH.OLT.ZT11.1.13.3_PHẾ LIỆU</t>
  </si>
  <si>
    <t>Phong 21</t>
  </si>
  <si>
    <t>105.255802</t>
  </si>
  <si>
    <t>10.684124</t>
  </si>
  <si>
    <t>AGG.PTN.28M.OLT.ZT11.1.1.1_Giang điện cơ</t>
  </si>
  <si>
    <t>Phong 18</t>
  </si>
  <si>
    <t>105.268468</t>
  </si>
  <si>
    <t>10.655553</t>
  </si>
  <si>
    <t>AGG.PTN.28M.OLT.ZT11.1.15.2_Kỳ Anh Quán</t>
  </si>
  <si>
    <t>Phong 19</t>
  </si>
  <si>
    <t>PTN.PTH.OLT.ZT11.1.10.1_ Ong Bung</t>
  </si>
  <si>
    <t>Phong 20</t>
  </si>
  <si>
    <t>105.259382</t>
  </si>
  <si>
    <t>10.668094</t>
  </si>
  <si>
    <t>PTA014/PHG</t>
  </si>
  <si>
    <t>PTN.PHG.OLT.A21.2.2.1_Cầu Phú Xuân</t>
  </si>
  <si>
    <t>Khai 1</t>
  </si>
  <si>
    <t>Khai 2</t>
  </si>
  <si>
    <t>Khai 3</t>
  </si>
  <si>
    <t>Khai 4</t>
  </si>
  <si>
    <t>Khai 5</t>
  </si>
  <si>
    <t>Khai 6</t>
  </si>
  <si>
    <t>Khai 7</t>
  </si>
  <si>
    <t>Khai 7-1</t>
  </si>
  <si>
    <t>PTN.PHG.OLT.A21.1.8.1_Mai Quốc Thái</t>
  </si>
  <si>
    <t>Khai 8</t>
  </si>
  <si>
    <t>Khai 9</t>
  </si>
  <si>
    <t>PTN.PHG.OLT.A21.1.6.3_Nghiệp ủy ban</t>
  </si>
  <si>
    <t>Khai 10</t>
  </si>
  <si>
    <t>Khai 11</t>
  </si>
  <si>
    <t>Khai 12</t>
  </si>
  <si>
    <t>PTN.PHG.OLT.A21.3.1.1_BTQ Hưng Thới 2</t>
  </si>
  <si>
    <t>Khai 17</t>
  </si>
  <si>
    <t>Khai 18</t>
  </si>
  <si>
    <t>Khai 19</t>
  </si>
  <si>
    <t>Khai 20</t>
  </si>
  <si>
    <t>Khai 21</t>
  </si>
  <si>
    <t>PTN.PHG.OLT.A21.1.16.4_Outdoor Phú Hưng</t>
  </si>
  <si>
    <t>VT Phú Hưng</t>
  </si>
  <si>
    <t>PTN.PHG.OLT.A21.1.1.2_Chợ Phú Hưng</t>
  </si>
  <si>
    <t>Khai 22</t>
  </si>
  <si>
    <t>PTN.PHG.OLT.A21.1.7.1_Thúy Huỳnh</t>
  </si>
  <si>
    <t>PTN.PHG.OLT.A21.2.11.3_cầu BÀ TÀ</t>
  </si>
  <si>
    <t>Khai 23</t>
  </si>
  <si>
    <t>Khai 24</t>
  </si>
  <si>
    <t>PTN.PHG.OLT.A21.2.6.1_Quán Cây Me</t>
  </si>
  <si>
    <t>Khai 25</t>
  </si>
  <si>
    <t>PTN.PHG.OLT.A21.2.6.3_Bà Tú</t>
  </si>
  <si>
    <t>Khai 26</t>
  </si>
  <si>
    <t>PTN.PHG.OLT.A21.1.2.2_Khải Già</t>
  </si>
  <si>
    <t>Khai 27</t>
  </si>
  <si>
    <t>PTN.PHG.OLT.A21.1.12.1_Dinh Ông</t>
  </si>
  <si>
    <t>Khai 28</t>
  </si>
  <si>
    <t>PTN.THA.OLT.A21.2.3.1_Út Tuất</t>
  </si>
  <si>
    <t>Khai 29</t>
  </si>
  <si>
    <t>PTN.PHG.OLT.A21.2.10.3_Bên sông cầu BÀ TÀ</t>
  </si>
  <si>
    <t>Khai 30</t>
  </si>
  <si>
    <t>Khai 31</t>
  </si>
  <si>
    <t>PTN.PHG.OLT.A21.2.13.2_Cầu 2 Nhuận</t>
  </si>
  <si>
    <t>Khai 32</t>
  </si>
  <si>
    <t>Khai 33</t>
  </si>
  <si>
    <t>PTN.THA.OLT.A21.2.2.1_Vựa Đồ Mũ</t>
  </si>
  <si>
    <t>Khai 35</t>
  </si>
  <si>
    <t>PTN.THA.OLT.A21.2.2.3_Cô Hằng</t>
  </si>
  <si>
    <t>Khai 34</t>
  </si>
  <si>
    <t>TTVT PHÚ TÂN</t>
  </si>
  <si>
    <t>SITE</t>
  </si>
  <si>
    <t>LONG XUYÊN</t>
  </si>
  <si>
    <t>An Châu</t>
  </si>
  <si>
    <t>II. TỔNG SITE LONG XUYÊN</t>
  </si>
  <si>
    <t>KHU VỰC TTVT</t>
  </si>
  <si>
    <t>Châu Phú</t>
  </si>
  <si>
    <t>GHI CHÚ</t>
  </si>
  <si>
    <t>TỔNG CỘNG(I+II):</t>
  </si>
  <si>
    <t>TTVT AN CHÂU</t>
  </si>
  <si>
    <t>TTVT CHÂU PHÚ</t>
  </si>
  <si>
    <t>ODF 12FO Rạch Mương Trâu</t>
  </si>
  <si>
    <t>S2-VP ấp Bình Phú 2</t>
  </si>
  <si>
    <t>S2-Ngang VP ấp Bình Phú 2</t>
  </si>
  <si>
    <t>S2-Nhà trọ Minh Ánh</t>
  </si>
  <si>
    <t>S2-Trong nhà trọ Minh Ánh</t>
  </si>
  <si>
    <t>ODF 12FO Bến tàu chợ Bình Hoà</t>
  </si>
  <si>
    <t>S2-Bến Tàu chợ Bình Hoà</t>
  </si>
  <si>
    <t>S2-VTNN Minh Trí</t>
  </si>
  <si>
    <t>S2-VLXD Út Chót</t>
  </si>
  <si>
    <t>S2-Bún cá Út Mỹ</t>
  </si>
  <si>
    <t>S2-Ngoài Cấp 1 A Bình Hòa</t>
  </si>
  <si>
    <t>S2-Trong đình Bình Hòa</t>
  </si>
  <si>
    <t>S2-Quảng cáo Đặng Lộc</t>
  </si>
  <si>
    <t>S2-Ngang Thái Khương</t>
  </si>
  <si>
    <t>S2-Tuấn Tú</t>
  </si>
  <si>
    <t>S2-Trong Tuấn Tú</t>
  </si>
  <si>
    <t>S2-Trong Anh Tài</t>
  </si>
  <si>
    <t>S2-Trước CTH029</t>
  </si>
  <si>
    <t>S2-Thiện Nhuận</t>
  </si>
  <si>
    <t xml:space="preserve"> ODF 6FO Chợ Bình Hòa</t>
  </si>
  <si>
    <t>S2-VLXD Đức Nhung</t>
  </si>
  <si>
    <t>S2-Quốc Phong</t>
  </si>
  <si>
    <t>S2-Sau Lưng Ngô Sồi</t>
  </si>
  <si>
    <t xml:space="preserve">S2-Cuối đường dưới </t>
  </si>
  <si>
    <t>CTH036</t>
  </si>
  <si>
    <t>ODF 6FO bờ UB Bình Thạnh</t>
  </si>
  <si>
    <t>S2-Bờ UB Bình Thạnh 1</t>
  </si>
  <si>
    <t>S2-Bờ UB Bình Thạnh 2</t>
  </si>
  <si>
    <t>S2-Bờ UB Bình Thạnh 3</t>
  </si>
  <si>
    <t>S2-Bờ UB Bình Thạnh 4</t>
  </si>
  <si>
    <t>S2-Bờ UB Bình Thạnh 5</t>
  </si>
  <si>
    <t>S2-Bờ UB Bình Thạnh 6</t>
  </si>
  <si>
    <t>S2-Bờ UB Bình Thạnh 7</t>
  </si>
  <si>
    <t>S2-Bờ UB Bình Thạnh 8</t>
  </si>
  <si>
    <t>ODF 12F0 CTH021 Kinh Đứng</t>
  </si>
  <si>
    <t>S2-Trước trạm CTH021</t>
  </si>
  <si>
    <t>S2-Nhà nghỉ Tân Thành</t>
  </si>
  <si>
    <t>S2-Ngoài nhà nghỉ Tân Thành</t>
  </si>
  <si>
    <t>S2-Cầu cống đá</t>
  </si>
  <si>
    <t>S2-Ngoài cầu cống đá</t>
  </si>
  <si>
    <t>S2-Trong cầu Tân Thành 4</t>
  </si>
  <si>
    <t>S2-Trong cầu 3 chùa</t>
  </si>
  <si>
    <t>S2-Cầu Ba chùa</t>
  </si>
  <si>
    <t>S2-Ngoài cầu 3 chùa</t>
  </si>
  <si>
    <t>S2-Nhà yến ngoài cầu 3 chùa</t>
  </si>
  <si>
    <t>S2-Trong cây xăng ngọc tuyền</t>
  </si>
  <si>
    <t>CTH025</t>
  </si>
  <si>
    <t>ODF 12FO CTH025 cầu Sáu Miên</t>
  </si>
  <si>
    <t>S2-Kế nhà chú Danh</t>
  </si>
  <si>
    <t>S2-Ngoài nhà chú Danh</t>
  </si>
  <si>
    <t>S2-Trước vượt sông</t>
  </si>
  <si>
    <t>S2-Bên sông đường trà suốt</t>
  </si>
  <si>
    <t>S2-Ngoài tạp hóa Út Mười</t>
  </si>
  <si>
    <t>S2-Trong cầu cây</t>
  </si>
  <si>
    <t>S2-Ngoài cầu cây</t>
  </si>
  <si>
    <t>S2-Tủ trước vượt sông</t>
  </si>
  <si>
    <t>S2-Gần cầu Trà Suốt</t>
  </si>
  <si>
    <t>S2-VTNN Trần Văn Giang</t>
  </si>
  <si>
    <t>S2-Cầu Rạch Chùa</t>
  </si>
  <si>
    <t>S2-Tủ 1 vào kênh Rạch Chùa</t>
  </si>
  <si>
    <t>S2-Tủ 2 vào kênh Rạch Chùa</t>
  </si>
  <si>
    <t>S2-Tủ 3 vào kênh Rạch Chùa</t>
  </si>
  <si>
    <t>S2-Tủ 4 vào kênh Rạch Chùa</t>
  </si>
  <si>
    <t>S2-Trà sữa Cherry</t>
  </si>
  <si>
    <t>S2-Cây xăng Vĩnh Thạnh Hưng</t>
  </si>
  <si>
    <t>S2-Trong cx Vĩnh Thạnh Trung</t>
  </si>
  <si>
    <t>S2-Nhà yến Đông Bình Trạch</t>
  </si>
  <si>
    <t>S2-Trong nhà máy Nguyễn Dương</t>
  </si>
  <si>
    <t>CTH019</t>
  </si>
  <si>
    <t>ODF 12F0 CTH019 Cầu Cái Nha</t>
  </si>
  <si>
    <t>S2-Cầu Ngã Cái</t>
  </si>
  <si>
    <t>S2-Trường cấp 2 VLI</t>
  </si>
  <si>
    <t xml:space="preserve">S2-Ngoài shop sữa Anh Anh </t>
  </si>
  <si>
    <t>S2-Shop sữa Anh Anh</t>
  </si>
  <si>
    <t>S2-Ngoài cà phê ô Những</t>
  </si>
  <si>
    <t>S2-Cà phê Cherry</t>
  </si>
  <si>
    <t>S2-Cổng Chào</t>
  </si>
  <si>
    <t>S2-Ngoài cổng chào</t>
  </si>
  <si>
    <t>S2-Trà sữa Bình Tea</t>
  </si>
  <si>
    <t>S2-Nail Kim Ngân</t>
  </si>
  <si>
    <t>S2-Ngoài tiệm Nail Kim Ngân</t>
  </si>
  <si>
    <t>S2-Trong cho thuê Ampli</t>
  </si>
  <si>
    <t>S2-Trong cầu Cái Nha</t>
  </si>
  <si>
    <t>CTH006M</t>
  </si>
  <si>
    <t>ODF 12FO Khúc Vô Thường</t>
  </si>
  <si>
    <t>Quán Khúc Vô Thường</t>
  </si>
  <si>
    <t>An Bình 4</t>
  </si>
  <si>
    <t>Tiệm sắt Lý Quốc</t>
  </si>
  <si>
    <t>Camera số 1</t>
  </si>
  <si>
    <t>Shop Kim Huê</t>
  </si>
  <si>
    <t>Hẻm Hai Hội 1</t>
  </si>
  <si>
    <t>Hẻm Hai Hội 2</t>
  </si>
  <si>
    <t>Hẻm Hai Hội 3</t>
  </si>
  <si>
    <t>Hẻm Hai Hội 4</t>
  </si>
  <si>
    <t>Hẻm Hai Hội 5</t>
  </si>
  <si>
    <t>Hẻm Hai Hội 6</t>
  </si>
  <si>
    <t>Chị Nhàn bưu điện</t>
  </si>
  <si>
    <t>Vườn hoa Tám Mẫn 1</t>
  </si>
  <si>
    <t>Vườn hoa Tám Mẫn 2</t>
  </si>
  <si>
    <t>CPH023</t>
  </si>
  <si>
    <t>Trạm CPH023</t>
  </si>
  <si>
    <t>S2-TMT- Kênh 9-1</t>
  </si>
  <si>
    <t>S2-TMT- Kênh 9-2</t>
  </si>
  <si>
    <t>S2-TMT- Kênh 9-3</t>
  </si>
  <si>
    <t>S2-TMT- Kênh 9-4</t>
  </si>
  <si>
    <t>S2-TMT- Kênh 9-5</t>
  </si>
  <si>
    <t>S2-TMT- Kênh 9-6</t>
  </si>
  <si>
    <t>S2-TMT- Kênh 9-7</t>
  </si>
  <si>
    <t>S2-TMT- Kênh 9-8</t>
  </si>
  <si>
    <t>S2-TMT- Kênh 9-9</t>
  </si>
  <si>
    <t>S2-TMT- Kênh 9-10</t>
  </si>
  <si>
    <t>S2-TMT- Kênh 9-11</t>
  </si>
  <si>
    <t>S2-TMT- Kênh 9-12</t>
  </si>
  <si>
    <t>S2-TMT- Kênh 9-13</t>
  </si>
  <si>
    <t>S2-TMT- Kênh 9-14</t>
  </si>
  <si>
    <t>S2-TMT- Kênh 9-15</t>
  </si>
  <si>
    <t>S2-TMT- Kênh 9-16</t>
  </si>
  <si>
    <t>CPH020</t>
  </si>
  <si>
    <t>Trạm CPH020</t>
  </si>
  <si>
    <t>S2-20M- Cầu tre 1</t>
  </si>
  <si>
    <t>S2-20M- Cầu tre 2</t>
  </si>
  <si>
    <t>S2-20M- Cầu tre 3</t>
  </si>
  <si>
    <t>S2-20M- Cầu tre 4</t>
  </si>
  <si>
    <t>S2-20M- Cầu tre 5</t>
  </si>
  <si>
    <t>S2-20M- Cầu tre 6</t>
  </si>
  <si>
    <t>S2-20M- Cầu tre 7</t>
  </si>
  <si>
    <t>S2-20M- Cầu tre 8</t>
  </si>
  <si>
    <t>S2-TMT-Anh Thanh 1</t>
  </si>
  <si>
    <t>S2-TMT-Anh Thanh 2</t>
  </si>
  <si>
    <t>S2-TMT-Anh Thanh 3</t>
  </si>
  <si>
    <t>S2-TMT-Anh Thanh 4</t>
  </si>
  <si>
    <t>S2-TMT-Anh Thanh 5</t>
  </si>
  <si>
    <t>S2-TMT-Anh Thanh 6</t>
  </si>
  <si>
    <t>S2-TMT-Anh Thanh 7</t>
  </si>
  <si>
    <t>S2-TMT-Anh Thanh 8</t>
  </si>
  <si>
    <t>TMT-Anh Thanh 1</t>
  </si>
  <si>
    <t>S2-TMT-Anh Thanh 9</t>
  </si>
  <si>
    <t>S2-TMT-Anh Thanh 10</t>
  </si>
  <si>
    <t>S2-TMT-Anh Thanh 11</t>
  </si>
  <si>
    <t>S2-TMT-Anh Thanh 12</t>
  </si>
  <si>
    <t>S2-TMT-Anh Thanh 13</t>
  </si>
  <si>
    <t>S2-TMT-Anh Thanh 14</t>
  </si>
  <si>
    <t>S2-TMT-Anh Thanh 15</t>
  </si>
  <si>
    <t>S2-TMT-Anh Thanh 16</t>
  </si>
  <si>
    <t>S2-TMT-Anh Thanh 17</t>
  </si>
  <si>
    <t>S2-TMT-Anh Thanh 18</t>
  </si>
  <si>
    <t>S2-TMT-Anh Thanh 19</t>
  </si>
  <si>
    <t>S2-TMT-Anh Thanh 20</t>
  </si>
  <si>
    <t>S2-TMT-Anh Thanh 21</t>
  </si>
  <si>
    <t>S2-TMT-Anh Thanh 22</t>
  </si>
  <si>
    <t>S2-TMT-Anh Thanh 23</t>
  </si>
  <si>
    <t>S2-TMT-Anh Thanh 24</t>
  </si>
  <si>
    <t>CPH019</t>
  </si>
  <si>
    <t>Trạm CPH019</t>
  </si>
  <si>
    <t>S2-CTO- Thái An 1</t>
  </si>
  <si>
    <t>S2-CTO- Thái An 2</t>
  </si>
  <si>
    <t>S2-CTO- Thái An 3</t>
  </si>
  <si>
    <t>S2-CTO- Thái An 4</t>
  </si>
  <si>
    <t>S2-CTO- Thái An 5</t>
  </si>
  <si>
    <t>S2-CTO- Thái An 6</t>
  </si>
  <si>
    <t>S2-CTO- Thái An 7</t>
  </si>
  <si>
    <t>S2-CTO- Thái An 8</t>
  </si>
  <si>
    <t>S2-CTO- Thái An 9</t>
  </si>
  <si>
    <t>S2-CTO- Thái An 10</t>
  </si>
  <si>
    <t>S2-CTO- Thái An 11</t>
  </si>
  <si>
    <t>S2-CTO- Thái An 12</t>
  </si>
  <si>
    <t>S2-CTO-KDC Kênh 2-1</t>
  </si>
  <si>
    <t>S2-CTO-KDC Kênh 2-2</t>
  </si>
  <si>
    <t>S2-CTO-KDC Kênh 2-3</t>
  </si>
  <si>
    <t>S2-CTO-KDC Kênh 2-4</t>
  </si>
  <si>
    <t>S2-CTO-KDC Kênh 2-5</t>
  </si>
  <si>
    <t>S2-CTO-KDC Kênh 2-6</t>
  </si>
  <si>
    <t>S2-CTO-KDC Kênh 2-7</t>
  </si>
  <si>
    <t>S2-CTO-KDC Kênh 2-8</t>
  </si>
  <si>
    <t>S2-CTO-KDC Kênh 2-9</t>
  </si>
  <si>
    <t>S2-CTO-KDC Kênh 2-10</t>
  </si>
  <si>
    <t>S2-CTO-KDC Kênh 2-11</t>
  </si>
  <si>
    <t>S2-CTO-KDC Kênh 2-12</t>
  </si>
  <si>
    <t>CPH034</t>
  </si>
  <si>
    <t>TC PHỐI PHỦ THỜ ÔNG TƯ</t>
  </si>
  <si>
    <t>S2-034.ZT21_Bằng Lăng 1</t>
  </si>
  <si>
    <t>S2-034.ZT21_Bằng Lăng 2</t>
  </si>
  <si>
    <t>S2-034.ZT21_Bằng Lăng 3</t>
  </si>
  <si>
    <t>S2-034.ZT21_Bằng Lăng 4</t>
  </si>
  <si>
    <t>S2-034.ZT21_Bằng Lăng 5</t>
  </si>
  <si>
    <t>S2-034.ZT21_Bằng Lăng 6</t>
  </si>
  <si>
    <t>S2-034.ZT21_Bằng Lăng 7</t>
  </si>
  <si>
    <t>S2-034.ZT21_Bằng Lăng 8</t>
  </si>
  <si>
    <t>S2-034.ZT21_Bằng Lăng 9</t>
  </si>
  <si>
    <t>S2-034.ZT21_Bằng Lăng 10</t>
  </si>
  <si>
    <t>S2-034.ZT21_Bằng Lăng 11</t>
  </si>
  <si>
    <t>S2-034.ZT21_Bằng Lăng 12</t>
  </si>
  <si>
    <t>Tuyến BTS CTH040 - Cầu Mương Trâu</t>
  </si>
  <si>
    <t>Truyến BTS CTH008 - Bến tàu chợ Bình Hòa</t>
  </si>
  <si>
    <t>Lắp hộp Splitter trên tuyến cáp hiện hữu</t>
  </si>
  <si>
    <t>Tuyến BTS CTH036 - Hướng UB xã Bình Thạnh cũ</t>
  </si>
  <si>
    <t>Tuyến BTS CTH021 - Kênh Đứng</t>
  </si>
  <si>
    <t>Tuyến BTS CTH025 - Cầu Sáu Miên</t>
  </si>
  <si>
    <t>Tuyến BTS CTH019 - Cầu Cái Nha</t>
  </si>
  <si>
    <t>Trạm CTH006 - hướng quá café Khúc Vô Thường</t>
  </si>
  <si>
    <t>Tuyến BTS CPH023 - Kênh 9</t>
  </si>
  <si>
    <t>Tuyến BTS CPH020 - Cầu tre</t>
  </si>
  <si>
    <t>Tuyến BTS CPH023 - hướng nhà anh Thanh</t>
  </si>
  <si>
    <t>Tuyến BTS CPH019 - hướng nhà Thái An</t>
  </si>
  <si>
    <t>Tuyến BTS CPH019 - Kênh 2</t>
  </si>
  <si>
    <t>Tuyến tủ phối Phủ thờ Ông Tư - Bằng Lăng</t>
  </si>
  <si>
    <t>BẢNG TỔNG HỢP NHU CẦU CÁP QUANG PON CÁC ĐƠN VỊ 2026</t>
  </si>
  <si>
    <t>TỔ HT</t>
  </si>
  <si>
    <t>(Kèm theo văn bản số 114/CV-HT ngày 02 tháng 03 năm 2026)</t>
  </si>
  <si>
    <t>PHỤ LỤC 2:</t>
  </si>
  <si>
    <t>Mức độ Ưu tiên từ 1-3</t>
  </si>
  <si>
    <t>trạm 067</t>
  </si>
  <si>
    <t>trước trạm 067</t>
  </si>
  <si>
    <t>Khánh An</t>
  </si>
  <si>
    <t>dưới trạm 67</t>
  </si>
  <si>
    <t>dưới trạm 67 2</t>
  </si>
  <si>
    <t>vp an khánh</t>
  </si>
  <si>
    <t>vp an khánh 2</t>
  </si>
  <si>
    <t>vp an khánh 3</t>
  </si>
  <si>
    <t>dưới trạm 033</t>
  </si>
  <si>
    <t>trạm nước kan</t>
  </si>
  <si>
    <t>trạm nước kan 1</t>
  </si>
  <si>
    <t>trạm nước kan 2</t>
  </si>
  <si>
    <t xml:space="preserve">trạm nước kan 2 </t>
  </si>
  <si>
    <t>trạm nước kan 3</t>
  </si>
  <si>
    <t>đường dưới cầu ván</t>
  </si>
  <si>
    <t>đường dưới cầu ván 1</t>
  </si>
  <si>
    <t>đường cầu ván 1</t>
  </si>
  <si>
    <t>trên kho lời lợi</t>
  </si>
  <si>
    <t>trên bến đò 3 quành</t>
  </si>
  <si>
    <t>trại mộc tẻo</t>
  </si>
  <si>
    <t>trại mộc tỏe</t>
  </si>
  <si>
    <t>nhà ông 4 to</t>
  </si>
  <si>
    <t>nhà ông 4 to 1</t>
  </si>
  <si>
    <t>trên út cốc</t>
  </si>
  <si>
    <t>ngang út cốc</t>
  </si>
  <si>
    <t>tiệm may ngọc dung</t>
  </si>
  <si>
    <t>tiệm may ngọc dung 1</t>
  </si>
  <si>
    <t>đường mé sông thạnh phú</t>
  </si>
  <si>
    <t>kho xoài kim chi</t>
  </si>
  <si>
    <t>kho xoài kim chi 1</t>
  </si>
  <si>
    <t>kho xoài kim chi 2</t>
  </si>
  <si>
    <t>KV tủ pon thưa, các tủ hiện tại đã &gt;80% hiệu suất mỗi lần kéo máy phải kéo rất xa</t>
  </si>
  <si>
    <t>KV cần phối thêm tủ XGSPON để lấy khách hàng</t>
  </si>
  <si>
    <t>TCH042</t>
  </si>
  <si>
    <t>Trạm TCH042</t>
  </si>
  <si>
    <t>Khu Vĩnh Ngữ 1</t>
  </si>
  <si>
    <t>Khu Vĩnh Ngữ 2</t>
  </si>
  <si>
    <t>Khu Vĩnh Ngữ 3</t>
  </si>
  <si>
    <t>Khu Vĩnh Ngữ 4</t>
  </si>
  <si>
    <t>Khu Vĩnh Ngữ 5</t>
  </si>
  <si>
    <t>Khu Vĩnh Ngữ 6</t>
  </si>
  <si>
    <t>Khu Vĩnh Ngữ 7</t>
  </si>
  <si>
    <t>Khu Vĩnh Ngữ 8</t>
  </si>
  <si>
    <t>Khu Vĩnh Ngữ 9</t>
  </si>
  <si>
    <t>Khu Vĩnh Ngữ 10</t>
  </si>
  <si>
    <t>Khu Vĩnh Ngữ 11</t>
  </si>
  <si>
    <t>Tủ 04M _1.2.3.3</t>
  </si>
  <si>
    <t>KDC Vĩnh Thạnh 2 _ 1</t>
  </si>
  <si>
    <t>KDC Vĩnh Thạnh 2 _ 2</t>
  </si>
  <si>
    <t>KDC Vĩnh Thạnh 2 _ 3</t>
  </si>
  <si>
    <t>KDC Vĩnh Thạnh 2 _ 4</t>
  </si>
  <si>
    <t>KDC Vĩnh Thạnh 2 _ 5</t>
  </si>
  <si>
    <t>KDC Vĩnh Thạnh 2 _ 6</t>
  </si>
  <si>
    <t>KDC Vĩnh Thạnh 2 _ 7</t>
  </si>
  <si>
    <t>TTHT CHECK</t>
  </si>
  <si>
    <t>KẾT QUẢ</t>
  </si>
  <si>
    <t>LÍ DO</t>
  </si>
  <si>
    <t>OK</t>
  </si>
  <si>
    <t>Nâng cao năng lực vùng hiện hữu</t>
  </si>
  <si>
    <t>Sửa toạ độ ODF 12FO Bến tàu chợ Bình Hoà</t>
  </si>
  <si>
    <t>Sửa toạ độ điểm S2-Bún Cá Út Mỹ</t>
  </si>
  <si>
    <t>Phục vụ giảm tải cho  tủ S2-AGG.CTH.BHA.OLT.A21.4.3.3</t>
  </si>
  <si>
    <t>Sửa toạ độ S2-Trong Tuấn Tú</t>
  </si>
  <si>
    <t>Sửa toạ độ S2-Thiện Nhuận</t>
  </si>
  <si>
    <t>Sửa toạ độ S2-VLXD Đức Nhung</t>
  </si>
  <si>
    <t>Sửa toạ độ ODF 6FO bờ UB Bình Thạnh</t>
  </si>
  <si>
    <t>Lắp tủ tuyến cáp có sẵn để sang thuê bao về bờ bên đây, giảm tải cho các tủ ở tuyến bên kia sông</t>
  </si>
  <si>
    <t>S2-Quầy thuốc số 9</t>
  </si>
  <si>
    <t xml:space="preserve">Sửa lại toạ độ S2-Quầy thuốc số 9 </t>
  </si>
  <si>
    <t>Sửa lại toạ độ S2-Ngoài nhà nghỉ Tân Thành</t>
  </si>
  <si>
    <t>Sửa toạ độ S2-Ngoài cầu cống đá</t>
  </si>
  <si>
    <t>Sửa toạ độ S2-Cổng Chào</t>
  </si>
  <si>
    <t xml:space="preserve">Sãn tuyến mới sang tủ cũ trên dây lẻ tại đây qua </t>
  </si>
  <si>
    <t>Bổ sung hạ tầng đan xen tuyến hiện tại</t>
  </si>
  <si>
    <t>APH023</t>
  </si>
  <si>
    <t>Nhà Thờ KBH</t>
  </si>
  <si>
    <t>cửa nhôm lộc phát</t>
  </si>
  <si>
    <t>Cửa khẩu Long Bình</t>
  </si>
  <si>
    <t>cửa nhôm Lộc Phát</t>
  </si>
  <si>
    <t>Thanh Tâm Sa Tô</t>
  </si>
  <si>
    <t>Tôn Hai Dân Lbh</t>
  </si>
  <si>
    <t>vựa muối Quốc Trung</t>
  </si>
  <si>
    <t>Trung Cang lbh</t>
  </si>
  <si>
    <t>Phát Tôm Lbh</t>
  </si>
  <si>
    <t>CỬA KHẨU KHÁNH BÌNH</t>
  </si>
  <si>
    <t>Đường Sa Tô 4</t>
  </si>
  <si>
    <t>Đường Bào Nay 1</t>
  </si>
  <si>
    <t>VP Ấp Búng Nhỏ - Bàu Nai</t>
  </si>
  <si>
    <t>Đường Bào Nay 2</t>
  </si>
  <si>
    <t>Đường Bào Nay 3</t>
  </si>
  <si>
    <t>Đường Bào Nay 4</t>
  </si>
  <si>
    <t>Đường Bào Nay 5</t>
  </si>
  <si>
    <t>Đường Bào Nay 6</t>
  </si>
  <si>
    <t>APH013</t>
  </si>
  <si>
    <t>ODF 013M</t>
  </si>
  <si>
    <t>Vĩnh thuấn Tủ 1</t>
  </si>
  <si>
    <t>Vĩnh Thuấn</t>
  </si>
  <si>
    <t>Vĩnh Thuấn Tủ 1</t>
  </si>
  <si>
    <t>Vĩnh thuấn Tủ 2</t>
  </si>
  <si>
    <t>APH015</t>
  </si>
  <si>
    <t>Vĩnh Thuấn Tủ 2</t>
  </si>
  <si>
    <t>Vĩnh Thuấn Tủ 3</t>
  </si>
  <si>
    <t>APH016</t>
  </si>
  <si>
    <t>Vượt Kênh Vĩnh Hưng Tủ 4</t>
  </si>
  <si>
    <t>APH017</t>
  </si>
  <si>
    <t>Vinh Hưng Tủ 5</t>
  </si>
  <si>
    <t>APH018</t>
  </si>
  <si>
    <t>Vĩnh Hưng Tủ 6</t>
  </si>
  <si>
    <t>APH019</t>
  </si>
  <si>
    <t>Vĩnh Hưng Tủ 7</t>
  </si>
  <si>
    <t>APH020</t>
  </si>
  <si>
    <t>Vĩnh Hưng Tủ 8</t>
  </si>
  <si>
    <t>Bổ sung thêm tủ cho tuyến hiện tại</t>
  </si>
  <si>
    <t>Trạm Vĩnh Xuyên</t>
  </si>
  <si>
    <t>88QL 91</t>
  </si>
  <si>
    <t>gà núi Châu Đốc</t>
  </si>
  <si>
    <t>gần cơm tấm Yến Nhi</t>
  </si>
  <si>
    <t>cầu KDC VK2</t>
  </si>
  <si>
    <t>vượt Tuyến DC VK2</t>
  </si>
  <si>
    <t>gần bún cá Châu Đốc</t>
  </si>
  <si>
    <t>gần Hà Gia</t>
  </si>
  <si>
    <t>ngã 3 cầu 3 nhịp</t>
  </si>
  <si>
    <t>Trạm CDO018M</t>
  </si>
  <si>
    <t>Trạm Phường A</t>
  </si>
  <si>
    <t>ngã 4 đường số 9A</t>
  </si>
  <si>
    <t>Đường số 8 KDC Khóm 8</t>
  </si>
  <si>
    <t>nhà trọ nam định</t>
  </si>
  <si>
    <t>Đường số 2 KDC Khóm 8</t>
  </si>
  <si>
    <t>tỷ kính</t>
  </si>
  <si>
    <t>An Yên home</t>
  </si>
  <si>
    <t>sau ôto Quốc Thái</t>
  </si>
  <si>
    <t>Thêm tủ vào giữa hạ tầng hiện hữu</t>
  </si>
  <si>
    <t>Nâng dung lượng cho tuyến hiện hữu</t>
  </si>
  <si>
    <t>KV tủ pon thưa, kéo xa, giảm cự ly</t>
  </si>
  <si>
    <t>KV cần phối thêm để nâng cao năng lực đáp ứng vùng phủ</t>
  </si>
  <si>
    <t>KV tủ pon thưa, kéo xa, các tủ có hiệu suất cao, không còn cáp để phối thêm</t>
  </si>
  <si>
    <t>Tuyến PTA024 hướng lên</t>
  </si>
  <si>
    <t>Tuyến PTA024 hướng xuống</t>
  </si>
  <si>
    <t>Tuyến PLG hướng HLC</t>
  </si>
  <si>
    <t>Tuyến Thọ An hướng lên</t>
  </si>
  <si>
    <t>Tuyến Hai Thái hướng lên</t>
  </si>
  <si>
    <t>Tuyến Mobi Phú Thành hướng lên</t>
  </si>
  <si>
    <t>Tuyến ông Quới vượt sông</t>
  </si>
  <si>
    <t>Ông Mơ vượt sông hướng xuống</t>
  </si>
  <si>
    <t>Tám Đạu hướng lên</t>
  </si>
  <si>
    <t>Vũ Linh hương Vũ Linh 2</t>
  </si>
  <si>
    <t>Vũ Linh hương Vũ Linh 3</t>
  </si>
  <si>
    <t>Ông Ngoan vượt sông</t>
  </si>
  <si>
    <t>Bà chi kéo xuống</t>
  </si>
  <si>
    <t>Chú Sút kéo xuống</t>
  </si>
  <si>
    <t>Cây Me kéo xuống</t>
  </si>
  <si>
    <t>BS Dẻo kéo xuống</t>
  </si>
  <si>
    <t>Tuyến PTA01- CA Phú Thành</t>
  </si>
  <si>
    <t>Tuyến Phế Liệu hướng K16</t>
  </si>
  <si>
    <t>Giang Điện cơ kéo xuống</t>
  </si>
  <si>
    <t>Tuyến Trường B PTH - Kỳ Anh Quán</t>
  </si>
  <si>
    <t>Ông Bưng kéo lên</t>
  </si>
  <si>
    <t>Tuyến cầu PXN hướng kênh 3 Xã</t>
  </si>
  <si>
    <t>PHG.1.9.4_Lò sấy Bé Tám</t>
  </si>
  <si>
    <t>Tuyến Kênh 3 Xã hướng PMY</t>
  </si>
  <si>
    <t>Tuyến Cầu Trường A hướng chùa Cây Xanh</t>
  </si>
  <si>
    <t>Tuyến VT PHG hướng chợ PHG</t>
  </si>
  <si>
    <t>Cầu Bà Tà hướng Sáu Ân</t>
  </si>
  <si>
    <t>Sáu Ân hướng Khải Già</t>
  </si>
  <si>
    <t>Tuyến Dinh Ông - Út Tuất</t>
  </si>
  <si>
    <t>Tuyến bên sông cầu Bà Tà hướng Dinh Ông</t>
  </si>
  <si>
    <t>Vựa đồ mủ hướng Dinh Ông</t>
  </si>
  <si>
    <t>TỔNG CÁP NHU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</si>
</sst>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0000"/>
    <numFmt numFmtId="166" formatCode="0.000000"/>
    <numFmt numFmtId="167" formatCode="#,##0.0000"/>
    <numFmt numFmtId="168" formatCode="0;\-0;\-;@"/>
    <numFmt numFmtId="169" formatCode="_-* #,##0_-;\-* #,##0_-;_-* &quot;-&quot;??_-;_-@_-"/>
  </numFmts>
  <fonts count="39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1"/>
      <color theme="1"/>
      <name val="Aptos Narrow"/>
      <family val="2"/>
      <scheme val="minor"/>
    </font>
    <font>
      <sz val="11"/>
      <color rgb="FFFF0000"/>
      <name val="Times New Roman"/>
      <family val="1"/>
    </font>
    <font>
      <b/>
      <sz val="18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i/>
      <sz val="13"/>
      <color rgb="FF000000"/>
      <name val="Times New Roman"/>
      <family val="1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3"/>
      <color theme="0" tint="-4.9989318521683403E-2"/>
      <name val="Times New Roman"/>
      <family val="1"/>
    </font>
    <font>
      <b/>
      <sz val="14"/>
      <color theme="0" tint="-4.9989318521683403E-2"/>
      <name val="Times New Roman"/>
      <family val="1"/>
      <charset val="163"/>
    </font>
    <font>
      <b/>
      <sz val="14"/>
      <color theme="1"/>
      <name val="Aptos Narrow"/>
      <family val="2"/>
      <charset val="163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Aptos Narrow"/>
      <family val="2"/>
      <scheme val="minor"/>
    </font>
    <font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top"/>
    </xf>
    <xf numFmtId="164" fontId="14" fillId="0" borderId="0" applyFont="0" applyFill="0" applyBorder="0" applyAlignment="0" applyProtection="0"/>
  </cellStyleXfs>
  <cellXfs count="10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3" fontId="8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0" fontId="5" fillId="0" borderId="1" xfId="0" applyFont="1" applyBorder="1"/>
    <xf numFmtId="0" fontId="7" fillId="4" borderId="1" xfId="0" applyFont="1" applyFill="1" applyBorder="1" applyAlignment="1">
      <alignment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top"/>
    </xf>
    <xf numFmtId="0" fontId="3" fillId="0" borderId="4" xfId="0" applyFont="1" applyBorder="1"/>
    <xf numFmtId="0" fontId="7" fillId="0" borderId="4" xfId="0" applyFont="1" applyBorder="1"/>
    <xf numFmtId="0" fontId="3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3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7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left" vertical="top"/>
    </xf>
    <xf numFmtId="168" fontId="20" fillId="0" borderId="1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169" fontId="22" fillId="6" borderId="1" xfId="2" applyNumberFormat="1" applyFont="1" applyFill="1" applyBorder="1" applyAlignment="1">
      <alignment horizontal="center" vertical="center" wrapText="1"/>
    </xf>
    <xf numFmtId="169" fontId="5" fillId="5" borderId="1" xfId="2" applyNumberFormat="1" applyFont="1" applyFill="1" applyBorder="1" applyAlignment="1">
      <alignment horizontal="left" vertical="top"/>
    </xf>
    <xf numFmtId="169" fontId="25" fillId="5" borderId="1" xfId="2" applyNumberFormat="1" applyFont="1" applyFill="1" applyBorder="1" applyAlignment="1">
      <alignment horizontal="center" vertical="center" shrinkToFit="1"/>
    </xf>
    <xf numFmtId="0" fontId="7" fillId="9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2" fillId="9" borderId="1" xfId="0" applyFont="1" applyFill="1" applyBorder="1" applyAlignment="1">
      <alignment horizontal="left" vertical="center"/>
    </xf>
    <xf numFmtId="0" fontId="33" fillId="9" borderId="1" xfId="0" applyFont="1" applyFill="1" applyBorder="1" applyAlignment="1">
      <alignment horizontal="left" vertical="center"/>
    </xf>
    <xf numFmtId="0" fontId="33" fillId="9" borderId="1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 vertical="center" wrapText="1"/>
    </xf>
    <xf numFmtId="0" fontId="26" fillId="0" borderId="1" xfId="0" applyFont="1" applyBorder="1"/>
    <xf numFmtId="0" fontId="26" fillId="0" borderId="1" xfId="0" applyFont="1" applyBorder="1" applyAlignment="1">
      <alignment horizontal="right"/>
    </xf>
    <xf numFmtId="0" fontId="27" fillId="9" borderId="1" xfId="0" applyFont="1" applyFill="1" applyBorder="1" applyAlignment="1">
      <alignment horizontal="left" vertical="center"/>
    </xf>
    <xf numFmtId="169" fontId="5" fillId="0" borderId="0" xfId="0" applyNumberFormat="1" applyFont="1" applyAlignment="1">
      <alignment horizontal="left" vertical="top"/>
    </xf>
    <xf numFmtId="0" fontId="34" fillId="0" borderId="1" xfId="0" applyFont="1" applyBorder="1" applyAlignment="1">
      <alignment horizontal="left" vertical="top"/>
    </xf>
    <xf numFmtId="168" fontId="3" fillId="0" borderId="1" xfId="0" applyNumberFormat="1" applyFont="1" applyBorder="1" applyAlignment="1">
      <alignment horizontal="left" vertical="center" wrapText="1"/>
    </xf>
    <xf numFmtId="169" fontId="3" fillId="0" borderId="1" xfId="2" applyNumberFormat="1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3" fillId="2" borderId="1" xfId="0" applyFont="1" applyFill="1" applyBorder="1"/>
    <xf numFmtId="0" fontId="35" fillId="0" borderId="1" xfId="0" applyFont="1" applyBorder="1" applyAlignment="1">
      <alignment horizontal="right"/>
    </xf>
    <xf numFmtId="0" fontId="35" fillId="0" borderId="1" xfId="0" applyFont="1" applyBorder="1"/>
    <xf numFmtId="0" fontId="35" fillId="2" borderId="1" xfId="0" applyFont="1" applyFill="1" applyBorder="1"/>
    <xf numFmtId="0" fontId="35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/>
    <xf numFmtId="0" fontId="12" fillId="0" borderId="1" xfId="0" applyFont="1" applyBorder="1" applyAlignment="1">
      <alignment horizontal="left" vertical="center"/>
    </xf>
    <xf numFmtId="0" fontId="28" fillId="2" borderId="2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2" fillId="0" borderId="4" xfId="0" applyFont="1" applyBorder="1" applyAlignment="1">
      <alignment horizontal="left"/>
    </xf>
    <xf numFmtId="0" fontId="38" fillId="0" borderId="0" xfId="0" applyFont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169" fontId="22" fillId="2" borderId="1" xfId="2" applyNumberFormat="1" applyFont="1" applyFill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shrinkToFit="1"/>
    </xf>
    <xf numFmtId="1" fontId="24" fillId="5" borderId="5" xfId="0" applyNumberFormat="1" applyFont="1" applyFill="1" applyBorder="1" applyAlignment="1">
      <alignment horizontal="center" vertical="center" shrinkToFit="1"/>
    </xf>
    <xf numFmtId="1" fontId="24" fillId="5" borderId="6" xfId="0" applyNumberFormat="1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top"/>
    </xf>
    <xf numFmtId="168" fontId="13" fillId="0" borderId="1" xfId="0" applyNumberFormat="1" applyFont="1" applyBorder="1" applyAlignment="1">
      <alignment horizontal="left" vertical="center" wrapText="1"/>
    </xf>
    <xf numFmtId="168" fontId="19" fillId="0" borderId="2" xfId="0" applyNumberFormat="1" applyFont="1" applyBorder="1" applyAlignment="1">
      <alignment horizontal="center" vertical="center" wrapText="1"/>
    </xf>
    <xf numFmtId="168" fontId="19" fillId="0" borderId="7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168" fontId="19" fillId="6" borderId="4" xfId="0" applyNumberFormat="1" applyFont="1" applyFill="1" applyBorder="1" applyAlignment="1">
      <alignment horizontal="center" vertical="center" wrapText="1"/>
    </xf>
    <xf numFmtId="168" fontId="19" fillId="6" borderId="5" xfId="0" applyNumberFormat="1" applyFont="1" applyFill="1" applyBorder="1" applyAlignment="1">
      <alignment horizontal="center" vertical="center" wrapText="1"/>
    </xf>
    <xf numFmtId="168" fontId="19" fillId="6" borderId="6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 wrapText="1"/>
    </xf>
    <xf numFmtId="0" fontId="30" fillId="8" borderId="0" xfId="0" applyFont="1" applyFill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2D1CBBC5-BA9E-42BD-9EED-AC77B36772F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085E-FF39-45AA-8A98-B08D678430C0}">
  <sheetPr>
    <tabColor rgb="FFFFFF00"/>
  </sheetPr>
  <dimension ref="A1:R13"/>
  <sheetViews>
    <sheetView tabSelected="1" zoomScaleNormal="100" workbookViewId="0">
      <selection activeCell="K16" sqref="K16"/>
    </sheetView>
  </sheetViews>
  <sheetFormatPr defaultColWidth="10" defaultRowHeight="15.6" x14ac:dyDescent="0.3"/>
  <cols>
    <col min="1" max="1" width="5.6640625" style="39" customWidth="1"/>
    <col min="2" max="2" width="11.6640625" style="39" customWidth="1"/>
    <col min="3" max="4" width="13" style="39" customWidth="1"/>
    <col min="5" max="5" width="16.44140625" style="39" customWidth="1"/>
    <col min="6" max="6" width="15.21875" style="39" customWidth="1"/>
    <col min="7" max="7" width="9.77734375" style="39" customWidth="1"/>
    <col min="8" max="8" width="9.33203125" style="39" customWidth="1"/>
    <col min="9" max="9" width="10.109375" style="39" customWidth="1"/>
    <col min="10" max="10" width="11.33203125" style="39" customWidth="1"/>
    <col min="11" max="11" width="16.21875" style="39" customWidth="1"/>
    <col min="12" max="12" width="19.6640625" style="39" customWidth="1"/>
    <col min="13" max="13" width="10" style="39"/>
    <col min="14" max="14" width="12.6640625" style="39" customWidth="1"/>
    <col min="15" max="16" width="10" style="39"/>
    <col min="17" max="17" width="10.44140625" style="39" bestFit="1" customWidth="1"/>
    <col min="18" max="16384" width="10" style="39"/>
  </cols>
  <sheetData>
    <row r="1" spans="1:18" ht="17.399999999999999" x14ac:dyDescent="0.3">
      <c r="A1" s="86" t="s">
        <v>605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 ht="17.399999999999999" x14ac:dyDescent="0.3">
      <c r="A2" s="87" t="s">
        <v>602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ht="18" x14ac:dyDescent="0.3">
      <c r="A3" s="82" t="s">
        <v>604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5" spans="1:18" ht="31.2" customHeight="1" x14ac:dyDescent="0.3">
      <c r="A5" s="41" t="s">
        <v>3</v>
      </c>
      <c r="B5" s="41" t="s">
        <v>386</v>
      </c>
      <c r="C5" s="2" t="s">
        <v>603</v>
      </c>
      <c r="D5" s="2" t="s">
        <v>390</v>
      </c>
      <c r="E5" s="11" t="s">
        <v>69</v>
      </c>
      <c r="F5" s="11" t="s">
        <v>70</v>
      </c>
      <c r="G5" s="46" t="s">
        <v>13</v>
      </c>
      <c r="H5" s="46" t="s">
        <v>72</v>
      </c>
      <c r="I5" s="46" t="s">
        <v>73</v>
      </c>
      <c r="J5" s="46" t="s">
        <v>14</v>
      </c>
      <c r="K5" s="77" t="s">
        <v>774</v>
      </c>
      <c r="L5" s="91" t="s">
        <v>392</v>
      </c>
      <c r="R5" s="39">
        <v>2025</v>
      </c>
    </row>
    <row r="6" spans="1:18" ht="35.4" customHeight="1" x14ac:dyDescent="0.3">
      <c r="A6" s="88" t="s">
        <v>393</v>
      </c>
      <c r="B6" s="89"/>
      <c r="C6" s="89"/>
      <c r="D6" s="90"/>
      <c r="E6" s="43">
        <f ca="1">E13</f>
        <v>80000</v>
      </c>
      <c r="F6" s="43">
        <f t="shared" ref="F6:J6" ca="1" si="0">F13</f>
        <v>0</v>
      </c>
      <c r="G6" s="43">
        <f t="shared" ca="1" si="0"/>
        <v>111</v>
      </c>
      <c r="H6" s="43">
        <f t="shared" ca="1" si="0"/>
        <v>0</v>
      </c>
      <c r="I6" s="43">
        <f t="shared" ca="1" si="0"/>
        <v>0</v>
      </c>
      <c r="J6" s="43">
        <f t="shared" ca="1" si="0"/>
        <v>417</v>
      </c>
      <c r="K6" s="78">
        <f t="shared" ref="K6:K13" ca="1" si="1">SUM(E6:F6)</f>
        <v>80000</v>
      </c>
      <c r="L6" s="92"/>
    </row>
    <row r="7" spans="1:18" ht="16.8" x14ac:dyDescent="0.3">
      <c r="A7" s="40">
        <v>1</v>
      </c>
      <c r="B7" s="84" t="s">
        <v>387</v>
      </c>
      <c r="C7" s="83" t="s">
        <v>388</v>
      </c>
      <c r="D7" s="57" t="s">
        <v>388</v>
      </c>
      <c r="E7" s="58">
        <f>ACU_OK!K3</f>
        <v>15000</v>
      </c>
      <c r="F7" s="58">
        <f>ACU_OK!L3</f>
        <v>0</v>
      </c>
      <c r="G7" s="58">
        <f>ACU_OK!N3</f>
        <v>22</v>
      </c>
      <c r="H7" s="58">
        <f>ACU_OK!O3</f>
        <v>0</v>
      </c>
      <c r="I7" s="58">
        <f>ACU_OK!P3</f>
        <v>0</v>
      </c>
      <c r="J7" s="58">
        <f>ACU_OK!Q3</f>
        <v>87</v>
      </c>
      <c r="K7" s="58">
        <f t="shared" si="1"/>
        <v>15000</v>
      </c>
      <c r="L7" s="42"/>
      <c r="N7" s="55"/>
    </row>
    <row r="8" spans="1:18" ht="16.8" x14ac:dyDescent="0.3">
      <c r="A8" s="40">
        <v>2</v>
      </c>
      <c r="B8" s="85"/>
      <c r="C8" s="83"/>
      <c r="D8" s="57" t="s">
        <v>391</v>
      </c>
      <c r="E8" s="58">
        <f ca="1">CPU_OK!K3</f>
        <v>18000</v>
      </c>
      <c r="F8" s="58">
        <f ca="1">CPU_OK!L3</f>
        <v>0</v>
      </c>
      <c r="G8" s="58">
        <f ca="1">CPU_OK!N3</f>
        <v>21</v>
      </c>
      <c r="H8" s="58">
        <f ca="1">CPU_OK!O3</f>
        <v>0</v>
      </c>
      <c r="I8" s="58">
        <f ca="1">CPU_OK!P3</f>
        <v>0</v>
      </c>
      <c r="J8" s="58">
        <f ca="1">CPU_OK!Q3</f>
        <v>84</v>
      </c>
      <c r="K8" s="58">
        <f t="shared" ca="1" si="1"/>
        <v>18000</v>
      </c>
      <c r="L8" s="42"/>
      <c r="N8" s="55"/>
    </row>
    <row r="9" spans="1:18" ht="16.8" x14ac:dyDescent="0.3">
      <c r="A9" s="40">
        <v>3</v>
      </c>
      <c r="B9" s="85"/>
      <c r="C9" s="83" t="s">
        <v>75</v>
      </c>
      <c r="D9" s="57" t="s">
        <v>132</v>
      </c>
      <c r="E9" s="58">
        <f>APU_OK!K3</f>
        <v>17000</v>
      </c>
      <c r="F9" s="58">
        <f>APU_OK!L3</f>
        <v>0</v>
      </c>
      <c r="G9" s="58">
        <f>APU_OK!N3</f>
        <v>23</v>
      </c>
      <c r="H9" s="58">
        <f>APU_OK!O3</f>
        <v>0</v>
      </c>
      <c r="I9" s="58">
        <f>APU_OK!P3</f>
        <v>0</v>
      </c>
      <c r="J9" s="58">
        <f>APU_OK!Q3</f>
        <v>86</v>
      </c>
      <c r="K9" s="58">
        <f t="shared" si="1"/>
        <v>17000</v>
      </c>
      <c r="L9" s="42"/>
      <c r="N9" s="55"/>
    </row>
    <row r="10" spans="1:18" ht="16.8" x14ac:dyDescent="0.3">
      <c r="A10" s="40">
        <v>4</v>
      </c>
      <c r="B10" s="85"/>
      <c r="C10" s="83"/>
      <c r="D10" s="57" t="s">
        <v>75</v>
      </c>
      <c r="E10" s="58">
        <f ca="1">CĐC_OK!K3</f>
        <v>12000</v>
      </c>
      <c r="F10" s="58">
        <f ca="1">CĐC_OK!L3</f>
        <v>0</v>
      </c>
      <c r="G10" s="58">
        <f ca="1">CĐC_OK!N3</f>
        <v>16</v>
      </c>
      <c r="H10" s="58">
        <f ca="1">CĐC_OK!O3</f>
        <v>0</v>
      </c>
      <c r="I10" s="58">
        <f ca="1">CĐC_OK!P3</f>
        <v>0</v>
      </c>
      <c r="J10" s="58">
        <f ca="1">CĐC_OK!Q3</f>
        <v>60</v>
      </c>
      <c r="K10" s="58">
        <f t="shared" ca="1" si="1"/>
        <v>12000</v>
      </c>
      <c r="L10" s="56"/>
      <c r="N10" s="55"/>
    </row>
    <row r="11" spans="1:18" ht="16.8" x14ac:dyDescent="0.3">
      <c r="A11" s="40">
        <v>8</v>
      </c>
      <c r="B11" s="85"/>
      <c r="C11" s="83" t="s">
        <v>223</v>
      </c>
      <c r="D11" s="57" t="s">
        <v>223</v>
      </c>
      <c r="E11" s="58">
        <f>PTN_OK!K3</f>
        <v>10000</v>
      </c>
      <c r="F11" s="58">
        <f>PTN_OK!L3</f>
        <v>0</v>
      </c>
      <c r="G11" s="58">
        <f>PTN_OK!N3</f>
        <v>18</v>
      </c>
      <c r="H11" s="58">
        <f>PTN_OK!O3</f>
        <v>0</v>
      </c>
      <c r="I11" s="58">
        <f>PTN_OK!P3</f>
        <v>0</v>
      </c>
      <c r="J11" s="58">
        <f>PTN_OK!Q3</f>
        <v>61</v>
      </c>
      <c r="K11" s="58">
        <f t="shared" si="1"/>
        <v>10000</v>
      </c>
      <c r="L11" s="56"/>
      <c r="N11" s="55"/>
    </row>
    <row r="12" spans="1:18" ht="16.8" x14ac:dyDescent="0.3">
      <c r="A12" s="40">
        <v>9</v>
      </c>
      <c r="B12" s="85"/>
      <c r="C12" s="83"/>
      <c r="D12" s="57" t="s">
        <v>198</v>
      </c>
      <c r="E12" s="58">
        <f ca="1">TCU_OK!K3</f>
        <v>8000</v>
      </c>
      <c r="F12" s="58">
        <f ca="1">TCU_OK!L3</f>
        <v>0</v>
      </c>
      <c r="G12" s="58">
        <f ca="1">TCU_OK!N3</f>
        <v>11</v>
      </c>
      <c r="H12" s="58">
        <f ca="1">TCU_OK!O3</f>
        <v>0</v>
      </c>
      <c r="I12" s="58">
        <f ca="1">TCU_OK!P3</f>
        <v>0</v>
      </c>
      <c r="J12" s="58">
        <f ca="1">TCU_OK!Q3</f>
        <v>39</v>
      </c>
      <c r="K12" s="58">
        <f t="shared" ca="1" si="1"/>
        <v>8000</v>
      </c>
      <c r="L12" s="56"/>
      <c r="N12" s="55"/>
    </row>
    <row r="13" spans="1:18" ht="16.8" x14ac:dyDescent="0.3">
      <c r="A13" s="79" t="s">
        <v>389</v>
      </c>
      <c r="B13" s="80"/>
      <c r="C13" s="80"/>
      <c r="D13" s="81"/>
      <c r="E13" s="45">
        <f t="shared" ref="E13:J13" ca="1" si="2">SUM(E7:E12)</f>
        <v>80000</v>
      </c>
      <c r="F13" s="45">
        <f t="shared" ca="1" si="2"/>
        <v>0</v>
      </c>
      <c r="G13" s="45">
        <f t="shared" ca="1" si="2"/>
        <v>111</v>
      </c>
      <c r="H13" s="45">
        <f t="shared" ca="1" si="2"/>
        <v>0</v>
      </c>
      <c r="I13" s="45">
        <f t="shared" ca="1" si="2"/>
        <v>0</v>
      </c>
      <c r="J13" s="45">
        <f t="shared" ca="1" si="2"/>
        <v>417</v>
      </c>
      <c r="K13" s="45">
        <f t="shared" ca="1" si="1"/>
        <v>80000</v>
      </c>
      <c r="L13" s="44"/>
      <c r="N13" s="55"/>
      <c r="R13" s="39">
        <v>328</v>
      </c>
    </row>
  </sheetData>
  <mergeCells count="10">
    <mergeCell ref="A1:L1"/>
    <mergeCell ref="A2:L2"/>
    <mergeCell ref="A6:D6"/>
    <mergeCell ref="L5:L6"/>
    <mergeCell ref="A13:D13"/>
    <mergeCell ref="A3:L3"/>
    <mergeCell ref="C7:C8"/>
    <mergeCell ref="C9:C10"/>
    <mergeCell ref="B7:B12"/>
    <mergeCell ref="C11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888C-0053-48C2-8E8F-AFABABC7EBA9}">
  <sheetPr>
    <tabColor rgb="FF00B0F0"/>
  </sheetPr>
  <dimension ref="A1:W92"/>
  <sheetViews>
    <sheetView topLeftCell="C6" zoomScale="77" zoomScaleNormal="77" workbookViewId="0">
      <selection activeCell="O21" sqref="E20:O21"/>
    </sheetView>
  </sheetViews>
  <sheetFormatPr defaultRowHeight="14.4" x14ac:dyDescent="0.3"/>
  <cols>
    <col min="1" max="1" width="68.33203125" hidden="1" customWidth="1"/>
    <col min="2" max="2" width="5.88671875" bestFit="1" customWidth="1"/>
    <col min="3" max="3" width="10.44140625" customWidth="1"/>
    <col min="4" max="4" width="15.44140625" bestFit="1" customWidth="1"/>
    <col min="5" max="5" width="45.88671875" customWidth="1"/>
    <col min="6" max="6" width="41.33203125" customWidth="1"/>
    <col min="7" max="10" width="14.6640625" style="7" bestFit="1" customWidth="1"/>
    <col min="11" max="11" width="18.44140625" customWidth="1"/>
    <col min="12" max="13" width="12.77734375" customWidth="1"/>
    <col min="14" max="14" width="7.88671875" bestFit="1" customWidth="1"/>
    <col min="15" max="15" width="7.88671875" customWidth="1"/>
    <col min="16" max="16" width="8.44140625" bestFit="1" customWidth="1"/>
    <col min="17" max="17" width="9.6640625" bestFit="1" customWidth="1"/>
    <col min="18" max="18" width="6.33203125" bestFit="1" customWidth="1"/>
    <col min="19" max="20" width="32.33203125" customWidth="1"/>
    <col min="21" max="21" width="16.44140625" customWidth="1"/>
    <col min="22" max="22" width="10" bestFit="1" customWidth="1"/>
    <col min="23" max="23" width="81.21875" bestFit="1" customWidth="1"/>
  </cols>
  <sheetData>
    <row r="1" spans="1:23" ht="46.2" customHeight="1" x14ac:dyDescent="0.3">
      <c r="A1" s="19"/>
      <c r="B1" s="101" t="s">
        <v>68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3" ht="16.8" x14ac:dyDescent="0.3">
      <c r="A2" s="19"/>
      <c r="B2" s="102"/>
      <c r="C2" s="102"/>
      <c r="D2" s="102"/>
      <c r="E2" s="102"/>
      <c r="F2" s="102"/>
      <c r="G2" s="102"/>
      <c r="H2" s="102"/>
      <c r="I2" s="103"/>
      <c r="J2" s="103"/>
      <c r="K2" s="29"/>
      <c r="L2" s="29"/>
      <c r="M2" s="29"/>
      <c r="N2" s="29"/>
      <c r="O2" s="29"/>
      <c r="P2" s="29"/>
      <c r="Q2" s="29"/>
      <c r="R2" s="29"/>
      <c r="S2" s="22"/>
      <c r="T2" s="22"/>
      <c r="U2" s="22"/>
    </row>
    <row r="3" spans="1:23" ht="16.8" x14ac:dyDescent="0.3">
      <c r="A3" s="19"/>
      <c r="B3" s="99" t="s">
        <v>74</v>
      </c>
      <c r="C3" s="99"/>
      <c r="D3" s="99"/>
      <c r="E3" s="99"/>
      <c r="F3" s="99"/>
      <c r="G3" s="99"/>
      <c r="H3" s="99"/>
      <c r="I3" s="100" t="s">
        <v>394</v>
      </c>
      <c r="J3" s="100"/>
      <c r="K3" s="24">
        <f t="shared" ref="K3:R3" si="0">SUMIF($C$6:$C$4312,"An Châu",K6:K4312)</f>
        <v>15000</v>
      </c>
      <c r="L3" s="24">
        <f t="shared" si="0"/>
        <v>0</v>
      </c>
      <c r="M3" s="24">
        <f t="shared" si="0"/>
        <v>0</v>
      </c>
      <c r="N3" s="24">
        <f t="shared" si="0"/>
        <v>22</v>
      </c>
      <c r="O3" s="24">
        <f t="shared" si="0"/>
        <v>0</v>
      </c>
      <c r="P3" s="24">
        <f t="shared" si="0"/>
        <v>0</v>
      </c>
      <c r="Q3" s="24">
        <f t="shared" si="0"/>
        <v>87</v>
      </c>
      <c r="R3" s="24">
        <f t="shared" si="0"/>
        <v>6</v>
      </c>
      <c r="S3" s="22"/>
      <c r="T3" s="22"/>
    </row>
    <row r="4" spans="1:23" ht="42.6" customHeight="1" x14ac:dyDescent="0.3">
      <c r="A4" s="18" t="s">
        <v>6</v>
      </c>
      <c r="B4" s="94" t="s">
        <v>3</v>
      </c>
      <c r="C4" s="94" t="s">
        <v>7</v>
      </c>
      <c r="D4" s="94" t="s">
        <v>8</v>
      </c>
      <c r="E4" s="94" t="s">
        <v>9</v>
      </c>
      <c r="F4" s="94" t="s">
        <v>10</v>
      </c>
      <c r="G4" s="94" t="s">
        <v>65</v>
      </c>
      <c r="H4" s="94"/>
      <c r="I4" s="94" t="s">
        <v>66</v>
      </c>
      <c r="J4" s="94"/>
      <c r="K4" s="23" t="s">
        <v>69</v>
      </c>
      <c r="L4" s="23" t="s">
        <v>70</v>
      </c>
      <c r="M4" s="23" t="s">
        <v>71</v>
      </c>
      <c r="N4" s="23" t="s">
        <v>13</v>
      </c>
      <c r="O4" s="23" t="s">
        <v>72</v>
      </c>
      <c r="P4" s="23" t="s">
        <v>73</v>
      </c>
      <c r="Q4" s="23" t="s">
        <v>14</v>
      </c>
      <c r="R4" s="23" t="s">
        <v>15</v>
      </c>
      <c r="S4" s="94" t="s">
        <v>0</v>
      </c>
      <c r="T4" s="96" t="s">
        <v>67</v>
      </c>
      <c r="U4" s="98" t="s">
        <v>606</v>
      </c>
      <c r="V4" s="93" t="s">
        <v>661</v>
      </c>
      <c r="W4" s="93"/>
    </row>
    <row r="5" spans="1:23" ht="16.8" x14ac:dyDescent="0.3">
      <c r="A5" s="18"/>
      <c r="B5" s="95"/>
      <c r="C5" s="95"/>
      <c r="D5" s="95"/>
      <c r="E5" s="95"/>
      <c r="F5" s="95"/>
      <c r="G5" s="9" t="s">
        <v>11</v>
      </c>
      <c r="H5" s="9" t="s">
        <v>12</v>
      </c>
      <c r="I5" s="9" t="s">
        <v>11</v>
      </c>
      <c r="J5" s="9" t="s">
        <v>12</v>
      </c>
      <c r="K5" s="4">
        <f>SUBTOTAL(9,K6:K3952)</f>
        <v>15000</v>
      </c>
      <c r="L5" s="4">
        <f t="shared" ref="L5:R5" si="1">SUBTOTAL(9,L6:L3952)</f>
        <v>0</v>
      </c>
      <c r="M5" s="4">
        <f t="shared" si="1"/>
        <v>0</v>
      </c>
      <c r="N5" s="4">
        <f t="shared" si="1"/>
        <v>22</v>
      </c>
      <c r="O5" s="4">
        <f t="shared" si="1"/>
        <v>0</v>
      </c>
      <c r="P5" s="4">
        <f t="shared" si="1"/>
        <v>0</v>
      </c>
      <c r="Q5" s="4">
        <f t="shared" si="1"/>
        <v>87</v>
      </c>
      <c r="R5" s="4">
        <f t="shared" si="1"/>
        <v>6</v>
      </c>
      <c r="S5" s="95"/>
      <c r="T5" s="97"/>
      <c r="U5" s="98"/>
      <c r="V5" s="59" t="s">
        <v>662</v>
      </c>
      <c r="W5" s="59" t="s">
        <v>663</v>
      </c>
    </row>
    <row r="6" spans="1:23" ht="31.2" x14ac:dyDescent="0.3">
      <c r="A6" s="19" t="s">
        <v>16</v>
      </c>
      <c r="B6" s="21">
        <v>1</v>
      </c>
      <c r="C6" s="30" t="s">
        <v>388</v>
      </c>
      <c r="D6" s="30" t="s">
        <v>22</v>
      </c>
      <c r="E6" s="61" t="s">
        <v>396</v>
      </c>
      <c r="F6" s="3" t="s">
        <v>397</v>
      </c>
      <c r="G6" s="5">
        <v>105.360281</v>
      </c>
      <c r="H6" s="5">
        <v>10.451608999999999</v>
      </c>
      <c r="I6" s="5">
        <v>105.360759</v>
      </c>
      <c r="J6" s="5">
        <v>10.450620000000001</v>
      </c>
      <c r="K6" s="3">
        <v>200</v>
      </c>
      <c r="L6" s="3"/>
      <c r="M6" s="14"/>
      <c r="N6" s="30">
        <v>1</v>
      </c>
      <c r="O6" s="13"/>
      <c r="P6" s="30"/>
      <c r="Q6" s="30">
        <v>1</v>
      </c>
      <c r="R6" s="17">
        <v>1</v>
      </c>
      <c r="S6" s="3"/>
      <c r="T6" s="47" t="s">
        <v>588</v>
      </c>
      <c r="U6" s="49">
        <v>1</v>
      </c>
      <c r="V6" s="10" t="s">
        <v>664</v>
      </c>
      <c r="W6" s="10"/>
    </row>
    <row r="7" spans="1:23" ht="31.2" x14ac:dyDescent="0.3">
      <c r="A7" s="19" t="s">
        <v>17</v>
      </c>
      <c r="B7" s="21">
        <v>2</v>
      </c>
      <c r="C7" s="30" t="s">
        <v>388</v>
      </c>
      <c r="D7" s="30" t="s">
        <v>22</v>
      </c>
      <c r="E7" s="61" t="s">
        <v>397</v>
      </c>
      <c r="F7" s="3" t="s">
        <v>398</v>
      </c>
      <c r="G7" s="5">
        <v>105.360759</v>
      </c>
      <c r="H7" s="5">
        <v>10.450620000000001</v>
      </c>
      <c r="I7" s="5">
        <v>105.360287</v>
      </c>
      <c r="J7" s="5">
        <v>10.450609999999999</v>
      </c>
      <c r="K7" s="3">
        <v>100</v>
      </c>
      <c r="L7" s="3"/>
      <c r="M7" s="13"/>
      <c r="N7" s="30"/>
      <c r="O7" s="13"/>
      <c r="P7" s="30"/>
      <c r="Q7" s="30">
        <v>1</v>
      </c>
      <c r="R7" s="17"/>
      <c r="S7" s="3"/>
      <c r="T7" s="47" t="s">
        <v>588</v>
      </c>
      <c r="U7" s="49">
        <v>1</v>
      </c>
      <c r="V7" s="10" t="s">
        <v>664</v>
      </c>
      <c r="W7" s="10"/>
    </row>
    <row r="8" spans="1:23" ht="31.2" x14ac:dyDescent="0.3">
      <c r="A8" s="19" t="s">
        <v>17</v>
      </c>
      <c r="B8" s="21">
        <v>3</v>
      </c>
      <c r="C8" s="30" t="s">
        <v>388</v>
      </c>
      <c r="D8" s="30" t="s">
        <v>22</v>
      </c>
      <c r="E8" s="61" t="s">
        <v>397</v>
      </c>
      <c r="F8" s="3" t="s">
        <v>399</v>
      </c>
      <c r="G8" s="5">
        <v>105.360759</v>
      </c>
      <c r="H8" s="5">
        <v>10.450620000000001</v>
      </c>
      <c r="I8" s="5">
        <v>105.35980600000001</v>
      </c>
      <c r="J8" s="5">
        <v>10.449189000000001</v>
      </c>
      <c r="K8" s="3">
        <v>200</v>
      </c>
      <c r="L8" s="3"/>
      <c r="M8" s="13"/>
      <c r="N8" s="30"/>
      <c r="O8" s="13"/>
      <c r="P8" s="30"/>
      <c r="Q8" s="30">
        <v>1</v>
      </c>
      <c r="R8" s="17"/>
      <c r="S8" s="3"/>
      <c r="T8" s="47" t="s">
        <v>588</v>
      </c>
      <c r="U8" s="49">
        <v>1</v>
      </c>
      <c r="V8" s="10" t="s">
        <v>664</v>
      </c>
      <c r="W8" s="10"/>
    </row>
    <row r="9" spans="1:23" ht="31.2" x14ac:dyDescent="0.3">
      <c r="A9" s="19" t="s">
        <v>17</v>
      </c>
      <c r="B9" s="21">
        <v>4</v>
      </c>
      <c r="C9" s="30" t="s">
        <v>388</v>
      </c>
      <c r="D9" s="30" t="s">
        <v>22</v>
      </c>
      <c r="E9" s="61" t="s">
        <v>399</v>
      </c>
      <c r="F9" s="3" t="s">
        <v>400</v>
      </c>
      <c r="G9" s="5">
        <v>105.35980600000001</v>
      </c>
      <c r="H9" s="5">
        <v>10.449189000000001</v>
      </c>
      <c r="I9" s="5">
        <v>105.358754</v>
      </c>
      <c r="J9" s="5">
        <v>10.447979999999999</v>
      </c>
      <c r="K9" s="3">
        <v>200</v>
      </c>
      <c r="L9" s="3"/>
      <c r="M9" s="13"/>
      <c r="N9" s="30"/>
      <c r="O9" s="13"/>
      <c r="P9" s="30"/>
      <c r="Q9" s="30">
        <v>1</v>
      </c>
      <c r="R9" s="17"/>
      <c r="S9" s="3"/>
      <c r="T9" s="47" t="s">
        <v>588</v>
      </c>
      <c r="U9" s="49">
        <v>1</v>
      </c>
      <c r="V9" s="10" t="s">
        <v>664</v>
      </c>
      <c r="W9" s="10"/>
    </row>
    <row r="10" spans="1:23" ht="31.2" x14ac:dyDescent="0.3">
      <c r="A10" s="19" t="s">
        <v>17</v>
      </c>
      <c r="B10" s="21">
        <v>5</v>
      </c>
      <c r="C10" s="30" t="s">
        <v>388</v>
      </c>
      <c r="D10" s="30" t="s">
        <v>22</v>
      </c>
      <c r="E10" s="61" t="s">
        <v>401</v>
      </c>
      <c r="F10" s="3" t="s">
        <v>402</v>
      </c>
      <c r="G10" s="62">
        <v>105.34327999999999</v>
      </c>
      <c r="H10" s="62">
        <v>10.461790000000001</v>
      </c>
      <c r="I10" s="5">
        <v>105.339037</v>
      </c>
      <c r="J10" s="5">
        <v>10.462819</v>
      </c>
      <c r="K10" s="3">
        <v>650</v>
      </c>
      <c r="L10" s="3"/>
      <c r="M10" s="13"/>
      <c r="N10" s="30">
        <v>1</v>
      </c>
      <c r="O10" s="13"/>
      <c r="P10" s="30"/>
      <c r="Q10" s="30">
        <v>1</v>
      </c>
      <c r="R10" s="17">
        <v>1</v>
      </c>
      <c r="S10" s="3"/>
      <c r="T10" s="47" t="s">
        <v>589</v>
      </c>
      <c r="U10" s="49">
        <v>1</v>
      </c>
      <c r="V10" s="10" t="s">
        <v>664</v>
      </c>
      <c r="W10" s="10" t="s">
        <v>666</v>
      </c>
    </row>
    <row r="11" spans="1:23" ht="31.2" x14ac:dyDescent="0.3">
      <c r="A11" s="19" t="s">
        <v>17</v>
      </c>
      <c r="B11" s="21">
        <v>6</v>
      </c>
      <c r="C11" s="30" t="s">
        <v>388</v>
      </c>
      <c r="D11" s="30" t="s">
        <v>22</v>
      </c>
      <c r="E11" s="61" t="s">
        <v>402</v>
      </c>
      <c r="F11" s="3" t="s">
        <v>403</v>
      </c>
      <c r="G11" s="5">
        <v>105.33903100000001</v>
      </c>
      <c r="H11" s="5">
        <v>10.462821</v>
      </c>
      <c r="I11" s="5">
        <v>105.33895200000001</v>
      </c>
      <c r="J11" s="5">
        <v>10.461904000000001</v>
      </c>
      <c r="K11" s="3"/>
      <c r="L11" s="3"/>
      <c r="M11" s="13"/>
      <c r="N11" s="30"/>
      <c r="O11" s="13"/>
      <c r="P11" s="30"/>
      <c r="Q11" s="30">
        <v>1</v>
      </c>
      <c r="R11" s="17"/>
      <c r="S11" s="3" t="s">
        <v>590</v>
      </c>
      <c r="T11" s="47" t="s">
        <v>589</v>
      </c>
      <c r="U11" s="49">
        <v>1</v>
      </c>
      <c r="V11" s="10" t="s">
        <v>664</v>
      </c>
      <c r="W11" s="10"/>
    </row>
    <row r="12" spans="1:23" ht="31.2" x14ac:dyDescent="0.3">
      <c r="A12" s="19" t="s">
        <v>17</v>
      </c>
      <c r="B12" s="21">
        <v>7</v>
      </c>
      <c r="C12" s="30" t="s">
        <v>388</v>
      </c>
      <c r="D12" s="30" t="s">
        <v>22</v>
      </c>
      <c r="E12" s="61" t="s">
        <v>403</v>
      </c>
      <c r="F12" s="3" t="s">
        <v>404</v>
      </c>
      <c r="G12" s="5">
        <v>105.33895200000001</v>
      </c>
      <c r="H12" s="5">
        <v>10.461904000000001</v>
      </c>
      <c r="I12" s="5">
        <v>105.338263</v>
      </c>
      <c r="J12" s="5">
        <v>10.461231</v>
      </c>
      <c r="K12" s="3"/>
      <c r="L12" s="3"/>
      <c r="M12" s="13"/>
      <c r="N12" s="30"/>
      <c r="O12" s="13"/>
      <c r="P12" s="30"/>
      <c r="Q12" s="30">
        <v>1</v>
      </c>
      <c r="R12" s="17"/>
      <c r="S12" s="3" t="s">
        <v>590</v>
      </c>
      <c r="T12" s="47" t="s">
        <v>589</v>
      </c>
      <c r="U12" s="49">
        <v>1</v>
      </c>
      <c r="V12" s="10" t="s">
        <v>664</v>
      </c>
      <c r="W12" s="10"/>
    </row>
    <row r="13" spans="1:23" ht="31.2" x14ac:dyDescent="0.3">
      <c r="A13" s="19" t="s">
        <v>17</v>
      </c>
      <c r="B13" s="21">
        <v>8</v>
      </c>
      <c r="C13" s="30" t="s">
        <v>388</v>
      </c>
      <c r="D13" s="30" t="s">
        <v>22</v>
      </c>
      <c r="E13" s="61" t="s">
        <v>404</v>
      </c>
      <c r="F13" s="3" t="s">
        <v>405</v>
      </c>
      <c r="G13" s="5">
        <v>105.338263</v>
      </c>
      <c r="H13" s="5">
        <v>10.461231</v>
      </c>
      <c r="I13" s="62">
        <v>105.33725800000001</v>
      </c>
      <c r="J13" s="62">
        <v>10.460248</v>
      </c>
      <c r="K13" s="3"/>
      <c r="L13" s="3"/>
      <c r="M13" s="13"/>
      <c r="N13" s="30"/>
      <c r="O13" s="13"/>
      <c r="P13" s="30"/>
      <c r="Q13" s="30">
        <v>1</v>
      </c>
      <c r="R13" s="17"/>
      <c r="S13" s="3" t="s">
        <v>590</v>
      </c>
      <c r="T13" s="47" t="s">
        <v>589</v>
      </c>
      <c r="U13" s="49">
        <v>1</v>
      </c>
      <c r="V13" s="10" t="s">
        <v>664</v>
      </c>
      <c r="W13" s="10" t="s">
        <v>667</v>
      </c>
    </row>
    <row r="14" spans="1:23" ht="31.2" x14ac:dyDescent="0.3">
      <c r="A14" s="19" t="s">
        <v>17</v>
      </c>
      <c r="B14" s="21">
        <v>9</v>
      </c>
      <c r="C14" s="30" t="s">
        <v>388</v>
      </c>
      <c r="D14" s="30" t="s">
        <v>22</v>
      </c>
      <c r="E14" s="61" t="s">
        <v>405</v>
      </c>
      <c r="F14" s="3" t="s">
        <v>406</v>
      </c>
      <c r="G14" s="62">
        <v>105.33725800000001</v>
      </c>
      <c r="H14" s="62">
        <v>10.460248</v>
      </c>
      <c r="I14" s="5">
        <v>105.335778</v>
      </c>
      <c r="J14" s="5">
        <v>10.459265</v>
      </c>
      <c r="K14" s="3"/>
      <c r="L14" s="3"/>
      <c r="M14" s="13"/>
      <c r="N14" s="30">
        <v>1</v>
      </c>
      <c r="O14" s="13"/>
      <c r="P14" s="30"/>
      <c r="Q14" s="30">
        <v>1</v>
      </c>
      <c r="R14" s="17"/>
      <c r="S14" s="3" t="s">
        <v>590</v>
      </c>
      <c r="T14" s="47" t="s">
        <v>589</v>
      </c>
      <c r="U14" s="49">
        <v>1</v>
      </c>
      <c r="V14" s="10" t="s">
        <v>664</v>
      </c>
      <c r="W14" s="10"/>
    </row>
    <row r="15" spans="1:23" ht="31.2" x14ac:dyDescent="0.3">
      <c r="A15" s="19" t="s">
        <v>17</v>
      </c>
      <c r="B15" s="21">
        <v>10</v>
      </c>
      <c r="C15" s="30" t="s">
        <v>388</v>
      </c>
      <c r="D15" s="30" t="s">
        <v>22</v>
      </c>
      <c r="E15" s="61" t="s">
        <v>406</v>
      </c>
      <c r="F15" s="3" t="s">
        <v>407</v>
      </c>
      <c r="G15" s="5">
        <v>105.335778</v>
      </c>
      <c r="H15" s="5">
        <v>10.459265</v>
      </c>
      <c r="I15" s="5">
        <v>105.33427500000001</v>
      </c>
      <c r="J15" s="5">
        <v>10.459191000000001</v>
      </c>
      <c r="K15" s="3"/>
      <c r="L15" s="3"/>
      <c r="M15" s="13"/>
      <c r="N15" s="30"/>
      <c r="O15" s="13"/>
      <c r="P15" s="30"/>
      <c r="Q15" s="30">
        <v>1</v>
      </c>
      <c r="R15" s="17"/>
      <c r="S15" s="3" t="s">
        <v>590</v>
      </c>
      <c r="T15" s="47" t="s">
        <v>589</v>
      </c>
      <c r="U15" s="49">
        <v>1</v>
      </c>
      <c r="V15" s="10" t="s">
        <v>664</v>
      </c>
      <c r="W15" s="10"/>
    </row>
    <row r="16" spans="1:23" ht="31.2" x14ac:dyDescent="0.3">
      <c r="A16" s="19" t="s">
        <v>18</v>
      </c>
      <c r="B16" s="21">
        <v>11</v>
      </c>
      <c r="C16" s="30" t="s">
        <v>388</v>
      </c>
      <c r="D16" s="30" t="s">
        <v>22</v>
      </c>
      <c r="E16" s="61" t="s">
        <v>408</v>
      </c>
      <c r="F16" s="3" t="s">
        <v>409</v>
      </c>
      <c r="G16" s="5">
        <v>105.333488</v>
      </c>
      <c r="H16" s="5">
        <v>10.459326000000001</v>
      </c>
      <c r="I16" s="5">
        <v>105.332679</v>
      </c>
      <c r="J16" s="5">
        <v>10.458551</v>
      </c>
      <c r="K16" s="3"/>
      <c r="L16" s="3"/>
      <c r="M16" s="13"/>
      <c r="N16" s="30"/>
      <c r="O16" s="13"/>
      <c r="P16" s="30"/>
      <c r="Q16" s="30">
        <v>1</v>
      </c>
      <c r="R16" s="17"/>
      <c r="S16" s="3" t="s">
        <v>590</v>
      </c>
      <c r="T16" s="47" t="s">
        <v>589</v>
      </c>
      <c r="U16" s="49">
        <v>1</v>
      </c>
      <c r="V16" s="10" t="s">
        <v>664</v>
      </c>
      <c r="W16" s="10"/>
    </row>
    <row r="17" spans="1:23" ht="31.2" x14ac:dyDescent="0.3">
      <c r="A17" s="19" t="s">
        <v>18</v>
      </c>
      <c r="B17" s="21">
        <v>12</v>
      </c>
      <c r="C17" s="30" t="s">
        <v>388</v>
      </c>
      <c r="D17" s="30" t="s">
        <v>22</v>
      </c>
      <c r="E17" s="61" t="s">
        <v>409</v>
      </c>
      <c r="F17" s="3" t="s">
        <v>410</v>
      </c>
      <c r="G17" s="5">
        <v>105.332679</v>
      </c>
      <c r="H17" s="5">
        <v>10.458551</v>
      </c>
      <c r="I17" s="5">
        <v>105.332615</v>
      </c>
      <c r="J17" s="5">
        <v>10.457129</v>
      </c>
      <c r="K17" s="3"/>
      <c r="L17" s="3"/>
      <c r="M17" s="13"/>
      <c r="N17" s="30"/>
      <c r="O17" s="13"/>
      <c r="P17" s="30"/>
      <c r="Q17" s="30">
        <v>1</v>
      </c>
      <c r="R17" s="17"/>
      <c r="S17" s="3" t="s">
        <v>590</v>
      </c>
      <c r="T17" s="47" t="s">
        <v>589</v>
      </c>
      <c r="U17" s="49">
        <v>1</v>
      </c>
      <c r="V17" s="10" t="s">
        <v>664</v>
      </c>
      <c r="W17" s="10" t="s">
        <v>668</v>
      </c>
    </row>
    <row r="18" spans="1:23" ht="31.2" x14ac:dyDescent="0.3">
      <c r="A18" s="19" t="s">
        <v>18</v>
      </c>
      <c r="B18" s="21">
        <v>13</v>
      </c>
      <c r="C18" s="30" t="s">
        <v>388</v>
      </c>
      <c r="D18" s="30" t="s">
        <v>22</v>
      </c>
      <c r="E18" s="61" t="s">
        <v>410</v>
      </c>
      <c r="F18" s="3" t="s">
        <v>411</v>
      </c>
      <c r="G18" s="5">
        <v>105.332615</v>
      </c>
      <c r="H18" s="5">
        <v>10.457129</v>
      </c>
      <c r="I18" s="62">
        <v>105.331875</v>
      </c>
      <c r="J18" s="62">
        <v>10.455513</v>
      </c>
      <c r="K18" s="3"/>
      <c r="L18" s="3"/>
      <c r="M18" s="13"/>
      <c r="N18" s="30">
        <v>1</v>
      </c>
      <c r="O18" s="13"/>
      <c r="P18" s="30"/>
      <c r="Q18" s="30">
        <v>1</v>
      </c>
      <c r="R18" s="17"/>
      <c r="S18" s="3" t="s">
        <v>590</v>
      </c>
      <c r="T18" s="47" t="s">
        <v>589</v>
      </c>
      <c r="U18" s="49">
        <v>1</v>
      </c>
      <c r="V18" s="10" t="s">
        <v>664</v>
      </c>
      <c r="W18" s="10" t="s">
        <v>669</v>
      </c>
    </row>
    <row r="19" spans="1:23" ht="31.2" x14ac:dyDescent="0.3">
      <c r="A19" s="19" t="s">
        <v>18</v>
      </c>
      <c r="B19" s="21">
        <v>14</v>
      </c>
      <c r="C19" s="30" t="s">
        <v>388</v>
      </c>
      <c r="D19" s="30" t="s">
        <v>22</v>
      </c>
      <c r="E19" s="61" t="s">
        <v>411</v>
      </c>
      <c r="F19" s="3" t="s">
        <v>412</v>
      </c>
      <c r="G19" s="62">
        <v>105.331875</v>
      </c>
      <c r="H19" s="62">
        <v>10.455513</v>
      </c>
      <c r="I19" s="5">
        <v>105.331867</v>
      </c>
      <c r="J19" s="5">
        <v>10.454065</v>
      </c>
      <c r="K19" s="3"/>
      <c r="L19" s="3"/>
      <c r="M19" s="13"/>
      <c r="N19" s="30"/>
      <c r="O19" s="13"/>
      <c r="P19" s="30"/>
      <c r="Q19" s="30">
        <v>1</v>
      </c>
      <c r="R19" s="17"/>
      <c r="S19" s="3" t="s">
        <v>590</v>
      </c>
      <c r="T19" s="47" t="s">
        <v>589</v>
      </c>
      <c r="U19" s="49">
        <v>1</v>
      </c>
      <c r="V19" s="10" t="s">
        <v>664</v>
      </c>
      <c r="W19" s="10"/>
    </row>
    <row r="20" spans="1:23" ht="31.2" x14ac:dyDescent="0.3">
      <c r="A20" s="19" t="s">
        <v>18</v>
      </c>
      <c r="B20" s="21">
        <v>15</v>
      </c>
      <c r="C20" s="30" t="s">
        <v>388</v>
      </c>
      <c r="D20" s="30" t="s">
        <v>22</v>
      </c>
      <c r="E20" s="61" t="s">
        <v>412</v>
      </c>
      <c r="F20" s="3" t="s">
        <v>413</v>
      </c>
      <c r="G20" s="5">
        <v>105.33187100000001</v>
      </c>
      <c r="H20" s="5">
        <v>10.454274</v>
      </c>
      <c r="I20" s="5">
        <v>105.331851</v>
      </c>
      <c r="J20" s="5">
        <v>10.451673</v>
      </c>
      <c r="K20" s="3"/>
      <c r="L20" s="3"/>
      <c r="M20" s="13"/>
      <c r="N20" s="30"/>
      <c r="O20" s="13"/>
      <c r="P20" s="30"/>
      <c r="Q20" s="30">
        <v>1</v>
      </c>
      <c r="R20" s="17"/>
      <c r="S20" s="3" t="s">
        <v>590</v>
      </c>
      <c r="T20" s="47" t="s">
        <v>589</v>
      </c>
      <c r="U20" s="49">
        <v>1</v>
      </c>
      <c r="V20" s="10" t="s">
        <v>664</v>
      </c>
      <c r="W20" s="10"/>
    </row>
    <row r="21" spans="1:23" ht="31.2" x14ac:dyDescent="0.3">
      <c r="A21" s="19" t="s">
        <v>18</v>
      </c>
      <c r="B21" s="21">
        <v>16</v>
      </c>
      <c r="C21" s="30" t="s">
        <v>388</v>
      </c>
      <c r="D21" s="30" t="s">
        <v>22</v>
      </c>
      <c r="E21" s="61" t="s">
        <v>413</v>
      </c>
      <c r="F21" s="3" t="s">
        <v>414</v>
      </c>
      <c r="G21" s="5">
        <v>105.331851</v>
      </c>
      <c r="H21" s="5">
        <v>10.451673</v>
      </c>
      <c r="I21" s="62">
        <v>105.332431</v>
      </c>
      <c r="J21" s="62">
        <v>10.449945</v>
      </c>
      <c r="K21" s="3"/>
      <c r="L21" s="3"/>
      <c r="M21" s="13"/>
      <c r="N21" s="30"/>
      <c r="O21" s="13"/>
      <c r="P21" s="30"/>
      <c r="Q21" s="30">
        <v>1</v>
      </c>
      <c r="R21" s="17"/>
      <c r="S21" s="3" t="s">
        <v>590</v>
      </c>
      <c r="T21" s="47" t="s">
        <v>589</v>
      </c>
      <c r="U21" s="49">
        <v>1</v>
      </c>
      <c r="V21" s="10" t="s">
        <v>664</v>
      </c>
      <c r="W21" s="10" t="s">
        <v>670</v>
      </c>
    </row>
    <row r="22" spans="1:23" ht="31.2" x14ac:dyDescent="0.3">
      <c r="A22" s="19" t="s">
        <v>18</v>
      </c>
      <c r="B22" s="21">
        <v>17</v>
      </c>
      <c r="C22" s="30" t="s">
        <v>388</v>
      </c>
      <c r="D22" s="30" t="s">
        <v>22</v>
      </c>
      <c r="E22" s="61" t="s">
        <v>415</v>
      </c>
      <c r="F22" s="3" t="s">
        <v>416</v>
      </c>
      <c r="G22" s="5">
        <v>105.34327999999999</v>
      </c>
      <c r="H22" s="5">
        <v>10.461790000000001</v>
      </c>
      <c r="I22" s="62">
        <v>105.34280099999999</v>
      </c>
      <c r="J22" s="62">
        <v>10.462766999999999</v>
      </c>
      <c r="K22" s="3"/>
      <c r="L22" s="3"/>
      <c r="M22" s="13"/>
      <c r="N22" s="30">
        <v>1</v>
      </c>
      <c r="O22" s="13"/>
      <c r="P22" s="30"/>
      <c r="Q22" s="30">
        <v>1</v>
      </c>
      <c r="R22" s="17"/>
      <c r="S22" s="3" t="s">
        <v>590</v>
      </c>
      <c r="T22" s="47" t="s">
        <v>589</v>
      </c>
      <c r="U22" s="49">
        <v>1</v>
      </c>
      <c r="V22" s="10" t="s">
        <v>664</v>
      </c>
      <c r="W22" s="10"/>
    </row>
    <row r="23" spans="1:23" ht="31.2" x14ac:dyDescent="0.3">
      <c r="A23" s="19" t="s">
        <v>18</v>
      </c>
      <c r="B23" s="21">
        <v>18</v>
      </c>
      <c r="C23" s="30" t="s">
        <v>388</v>
      </c>
      <c r="D23" s="30" t="s">
        <v>22</v>
      </c>
      <c r="E23" s="61" t="s">
        <v>416</v>
      </c>
      <c r="F23" s="3" t="s">
        <v>417</v>
      </c>
      <c r="G23" s="62">
        <v>105.34280099999999</v>
      </c>
      <c r="H23" s="62">
        <v>10.462766999999999</v>
      </c>
      <c r="I23" s="5">
        <v>105.34235</v>
      </c>
      <c r="J23" s="5">
        <v>10.462949999999999</v>
      </c>
      <c r="K23" s="3"/>
      <c r="L23" s="3"/>
      <c r="M23" s="13"/>
      <c r="N23" s="30"/>
      <c r="O23" s="13"/>
      <c r="P23" s="30"/>
      <c r="Q23" s="30">
        <v>1</v>
      </c>
      <c r="R23" s="17"/>
      <c r="S23" s="3" t="s">
        <v>590</v>
      </c>
      <c r="T23" s="47" t="s">
        <v>589</v>
      </c>
      <c r="U23" s="49">
        <v>1</v>
      </c>
      <c r="V23" s="10" t="s">
        <v>664</v>
      </c>
      <c r="W23" s="10" t="s">
        <v>671</v>
      </c>
    </row>
    <row r="24" spans="1:23" ht="31.2" x14ac:dyDescent="0.3">
      <c r="A24" s="19" t="s">
        <v>18</v>
      </c>
      <c r="B24" s="21">
        <v>19</v>
      </c>
      <c r="C24" s="30" t="s">
        <v>388</v>
      </c>
      <c r="D24" s="30" t="s">
        <v>22</v>
      </c>
      <c r="E24" s="61" t="s">
        <v>417</v>
      </c>
      <c r="F24" s="3" t="s">
        <v>418</v>
      </c>
      <c r="G24" s="5">
        <v>105.3419</v>
      </c>
      <c r="H24" s="5">
        <v>10.4628</v>
      </c>
      <c r="I24" s="5">
        <v>105.341037</v>
      </c>
      <c r="J24" s="5">
        <v>10.462650999999999</v>
      </c>
      <c r="K24" s="3"/>
      <c r="L24" s="3"/>
      <c r="M24" s="13"/>
      <c r="N24" s="30"/>
      <c r="O24" s="13"/>
      <c r="P24" s="30"/>
      <c r="Q24" s="30">
        <v>1</v>
      </c>
      <c r="R24" s="17"/>
      <c r="S24" s="3" t="s">
        <v>590</v>
      </c>
      <c r="T24" s="47" t="s">
        <v>589</v>
      </c>
      <c r="U24" s="49">
        <v>1</v>
      </c>
      <c r="V24" s="10" t="s">
        <v>664</v>
      </c>
      <c r="W24" s="10"/>
    </row>
    <row r="25" spans="1:23" ht="31.2" x14ac:dyDescent="0.3">
      <c r="A25" s="19" t="s">
        <v>19</v>
      </c>
      <c r="B25" s="21">
        <v>20</v>
      </c>
      <c r="C25" s="30" t="s">
        <v>388</v>
      </c>
      <c r="D25" s="30" t="s">
        <v>22</v>
      </c>
      <c r="E25" s="61" t="s">
        <v>418</v>
      </c>
      <c r="F25" s="3" t="s">
        <v>419</v>
      </c>
      <c r="G25" s="5">
        <v>105.341037</v>
      </c>
      <c r="H25" s="5">
        <v>10.462650999999999</v>
      </c>
      <c r="I25" s="5">
        <v>105.340198</v>
      </c>
      <c r="J25" s="5">
        <v>10.462344999999999</v>
      </c>
      <c r="K25" s="3"/>
      <c r="L25" s="3"/>
      <c r="M25" s="13"/>
      <c r="N25" s="30"/>
      <c r="O25" s="13"/>
      <c r="P25" s="30"/>
      <c r="Q25" s="30">
        <v>1</v>
      </c>
      <c r="R25" s="17"/>
      <c r="S25" s="3" t="s">
        <v>590</v>
      </c>
      <c r="T25" s="47" t="s">
        <v>589</v>
      </c>
      <c r="U25" s="49">
        <v>1</v>
      </c>
      <c r="V25" s="10" t="s">
        <v>664</v>
      </c>
      <c r="W25" s="10"/>
    </row>
    <row r="26" spans="1:23" ht="31.2" x14ac:dyDescent="0.3">
      <c r="A26" s="19" t="s">
        <v>19</v>
      </c>
      <c r="B26" s="21">
        <v>21</v>
      </c>
      <c r="C26" s="30" t="s">
        <v>388</v>
      </c>
      <c r="D26" s="30" t="s">
        <v>420</v>
      </c>
      <c r="E26" s="61" t="s">
        <v>421</v>
      </c>
      <c r="F26" s="3" t="s">
        <v>422</v>
      </c>
      <c r="G26" s="62">
        <v>105.34903300000001</v>
      </c>
      <c r="H26" s="62">
        <v>10.467878000000001</v>
      </c>
      <c r="I26" s="5">
        <v>105.349867</v>
      </c>
      <c r="J26" s="5">
        <v>10.468719999999999</v>
      </c>
      <c r="K26" s="3"/>
      <c r="L26" s="3"/>
      <c r="M26" s="13"/>
      <c r="N26" s="30">
        <v>1</v>
      </c>
      <c r="O26" s="13"/>
      <c r="P26" s="30"/>
      <c r="Q26" s="30">
        <v>1</v>
      </c>
      <c r="R26" s="17"/>
      <c r="S26" s="3" t="s">
        <v>590</v>
      </c>
      <c r="T26" s="47" t="s">
        <v>591</v>
      </c>
      <c r="U26" s="49">
        <v>1</v>
      </c>
      <c r="V26" s="10" t="s">
        <v>664</v>
      </c>
      <c r="W26" s="10" t="s">
        <v>672</v>
      </c>
    </row>
    <row r="27" spans="1:23" ht="31.2" x14ac:dyDescent="0.3">
      <c r="A27" s="19" t="s">
        <v>19</v>
      </c>
      <c r="B27" s="21">
        <v>22</v>
      </c>
      <c r="C27" s="30" t="s">
        <v>388</v>
      </c>
      <c r="D27" s="30" t="s">
        <v>420</v>
      </c>
      <c r="E27" s="61" t="s">
        <v>422</v>
      </c>
      <c r="F27" s="3" t="s">
        <v>423</v>
      </c>
      <c r="G27" s="5">
        <v>105.349867</v>
      </c>
      <c r="H27" s="5">
        <v>10.468719999999999</v>
      </c>
      <c r="I27" s="5">
        <v>105.35073300000001</v>
      </c>
      <c r="J27" s="5">
        <v>10.468719</v>
      </c>
      <c r="K27" s="3"/>
      <c r="L27" s="3"/>
      <c r="M27" s="13"/>
      <c r="N27" s="30"/>
      <c r="O27" s="13"/>
      <c r="P27" s="30"/>
      <c r="Q27" s="30">
        <v>1</v>
      </c>
      <c r="R27" s="17"/>
      <c r="S27" s="3" t="s">
        <v>590</v>
      </c>
      <c r="T27" s="47" t="s">
        <v>591</v>
      </c>
      <c r="U27" s="49">
        <v>1</v>
      </c>
      <c r="V27" s="10" t="s">
        <v>664</v>
      </c>
      <c r="W27" s="10" t="s">
        <v>673</v>
      </c>
    </row>
    <row r="28" spans="1:23" ht="31.2" x14ac:dyDescent="0.3">
      <c r="A28" s="19" t="s">
        <v>19</v>
      </c>
      <c r="B28" s="21">
        <v>23</v>
      </c>
      <c r="C28" s="30" t="s">
        <v>388</v>
      </c>
      <c r="D28" s="30" t="s">
        <v>420</v>
      </c>
      <c r="E28" s="61" t="s">
        <v>423</v>
      </c>
      <c r="F28" s="3" t="s">
        <v>424</v>
      </c>
      <c r="G28" s="5">
        <v>105.352204</v>
      </c>
      <c r="H28" s="5">
        <v>10.468254</v>
      </c>
      <c r="I28" s="5">
        <v>105.352204</v>
      </c>
      <c r="J28" s="5">
        <v>10.468254</v>
      </c>
      <c r="K28" s="3"/>
      <c r="L28" s="3"/>
      <c r="M28" s="13"/>
      <c r="N28" s="30"/>
      <c r="O28" s="13"/>
      <c r="P28" s="30"/>
      <c r="Q28" s="30">
        <v>1</v>
      </c>
      <c r="R28" s="17"/>
      <c r="S28" s="3" t="s">
        <v>590</v>
      </c>
      <c r="T28" s="47" t="s">
        <v>591</v>
      </c>
      <c r="U28" s="49">
        <v>1</v>
      </c>
      <c r="V28" s="10" t="s">
        <v>664</v>
      </c>
      <c r="W28" s="10" t="s">
        <v>673</v>
      </c>
    </row>
    <row r="29" spans="1:23" ht="31.2" x14ac:dyDescent="0.3">
      <c r="A29" s="19" t="s">
        <v>20</v>
      </c>
      <c r="B29" s="21">
        <v>24</v>
      </c>
      <c r="C29" s="30" t="s">
        <v>388</v>
      </c>
      <c r="D29" s="30" t="s">
        <v>420</v>
      </c>
      <c r="E29" s="61" t="s">
        <v>424</v>
      </c>
      <c r="F29" s="3" t="s">
        <v>425</v>
      </c>
      <c r="G29" s="5">
        <v>105.35448700000001</v>
      </c>
      <c r="H29" s="5">
        <v>10.4667014</v>
      </c>
      <c r="I29" s="5">
        <v>105.353213</v>
      </c>
      <c r="J29" s="5">
        <v>10.467749</v>
      </c>
      <c r="K29" s="3"/>
      <c r="L29" s="3"/>
      <c r="M29" s="13"/>
      <c r="N29" s="30"/>
      <c r="O29" s="13"/>
      <c r="P29" s="30"/>
      <c r="Q29" s="30">
        <v>1</v>
      </c>
      <c r="R29" s="17"/>
      <c r="S29" s="3" t="s">
        <v>590</v>
      </c>
      <c r="T29" s="47" t="s">
        <v>591</v>
      </c>
      <c r="U29" s="49">
        <v>1</v>
      </c>
      <c r="V29" s="10" t="s">
        <v>664</v>
      </c>
      <c r="W29" s="10" t="s">
        <v>673</v>
      </c>
    </row>
    <row r="30" spans="1:23" ht="31.2" x14ac:dyDescent="0.3">
      <c r="A30" s="19" t="s">
        <v>20</v>
      </c>
      <c r="B30" s="21">
        <v>25</v>
      </c>
      <c r="C30" s="30" t="s">
        <v>388</v>
      </c>
      <c r="D30" s="30" t="s">
        <v>420</v>
      </c>
      <c r="E30" s="61" t="s">
        <v>425</v>
      </c>
      <c r="F30" s="3" t="s">
        <v>426</v>
      </c>
      <c r="G30" s="5">
        <v>105.36515</v>
      </c>
      <c r="H30" s="5">
        <v>10.46584</v>
      </c>
      <c r="I30" s="5">
        <v>105.35448700000001</v>
      </c>
      <c r="J30" s="5">
        <v>10.467014000000001</v>
      </c>
      <c r="K30" s="3"/>
      <c r="L30" s="3"/>
      <c r="M30" s="13"/>
      <c r="N30" s="30">
        <v>1</v>
      </c>
      <c r="O30" s="13"/>
      <c r="P30" s="30"/>
      <c r="Q30" s="30">
        <v>1</v>
      </c>
      <c r="R30" s="17"/>
      <c r="S30" s="3" t="s">
        <v>590</v>
      </c>
      <c r="T30" s="47" t="s">
        <v>591</v>
      </c>
      <c r="U30" s="49">
        <v>1</v>
      </c>
      <c r="V30" s="10" t="s">
        <v>664</v>
      </c>
      <c r="W30" s="10" t="s">
        <v>673</v>
      </c>
    </row>
    <row r="31" spans="1:23" ht="31.2" x14ac:dyDescent="0.3">
      <c r="A31" s="19" t="s">
        <v>20</v>
      </c>
      <c r="B31" s="21">
        <v>26</v>
      </c>
      <c r="C31" s="30" t="s">
        <v>388</v>
      </c>
      <c r="D31" s="30" t="s">
        <v>420</v>
      </c>
      <c r="E31" s="61" t="s">
        <v>426</v>
      </c>
      <c r="F31" s="3" t="s">
        <v>427</v>
      </c>
      <c r="G31" s="5">
        <v>105.358036</v>
      </c>
      <c r="H31" s="5">
        <v>10.464707000000001</v>
      </c>
      <c r="I31" s="5">
        <v>105.35615</v>
      </c>
      <c r="J31" s="5">
        <v>10.46584</v>
      </c>
      <c r="K31" s="3"/>
      <c r="L31" s="3"/>
      <c r="M31" s="13"/>
      <c r="N31" s="30"/>
      <c r="O31" s="13"/>
      <c r="P31" s="30"/>
      <c r="Q31" s="30">
        <v>1</v>
      </c>
      <c r="R31" s="17"/>
      <c r="S31" s="3" t="s">
        <v>590</v>
      </c>
      <c r="T31" s="47" t="s">
        <v>591</v>
      </c>
      <c r="U31" s="49">
        <v>1</v>
      </c>
      <c r="V31" s="10" t="s">
        <v>664</v>
      </c>
      <c r="W31" s="10" t="s">
        <v>673</v>
      </c>
    </row>
    <row r="32" spans="1:23" ht="31.2" x14ac:dyDescent="0.3">
      <c r="A32" s="19" t="s">
        <v>20</v>
      </c>
      <c r="B32" s="21">
        <v>27</v>
      </c>
      <c r="C32" s="30" t="s">
        <v>388</v>
      </c>
      <c r="D32" s="30" t="s">
        <v>420</v>
      </c>
      <c r="E32" s="61" t="s">
        <v>427</v>
      </c>
      <c r="F32" s="3" t="s">
        <v>428</v>
      </c>
      <c r="G32" s="5">
        <v>105.35448700000001</v>
      </c>
      <c r="H32" s="5">
        <v>10.467014000000001</v>
      </c>
      <c r="I32" s="5">
        <v>105.358036</v>
      </c>
      <c r="J32" s="5">
        <v>10.464707000000001</v>
      </c>
      <c r="K32" s="3"/>
      <c r="L32" s="3"/>
      <c r="M32" s="13"/>
      <c r="N32" s="30"/>
      <c r="O32" s="13"/>
      <c r="P32" s="30"/>
      <c r="Q32" s="30">
        <v>1</v>
      </c>
      <c r="R32" s="17"/>
      <c r="S32" s="3" t="s">
        <v>590</v>
      </c>
      <c r="T32" s="47" t="s">
        <v>591</v>
      </c>
      <c r="U32" s="49">
        <v>1</v>
      </c>
      <c r="V32" s="10" t="s">
        <v>664</v>
      </c>
      <c r="W32" s="10" t="s">
        <v>673</v>
      </c>
    </row>
    <row r="33" spans="1:23" ht="31.2" x14ac:dyDescent="0.3">
      <c r="A33" s="19" t="s">
        <v>20</v>
      </c>
      <c r="B33" s="21">
        <v>28</v>
      </c>
      <c r="C33" s="30" t="s">
        <v>388</v>
      </c>
      <c r="D33" s="30" t="s">
        <v>420</v>
      </c>
      <c r="E33" s="61" t="s">
        <v>428</v>
      </c>
      <c r="F33" s="3" t="s">
        <v>429</v>
      </c>
      <c r="G33" s="5">
        <v>105.35615</v>
      </c>
      <c r="H33" s="5">
        <v>10.46584</v>
      </c>
      <c r="I33" s="5">
        <v>105.35985700000001</v>
      </c>
      <c r="J33" s="5">
        <v>10.463578999999999</v>
      </c>
      <c r="K33" s="3"/>
      <c r="L33" s="3"/>
      <c r="M33" s="13"/>
      <c r="N33" s="30"/>
      <c r="O33" s="13"/>
      <c r="P33" s="30"/>
      <c r="Q33" s="30">
        <v>1</v>
      </c>
      <c r="R33" s="17"/>
      <c r="S33" s="3" t="s">
        <v>590</v>
      </c>
      <c r="T33" s="47" t="s">
        <v>591</v>
      </c>
      <c r="U33" s="49">
        <v>1</v>
      </c>
      <c r="V33" s="10" t="s">
        <v>664</v>
      </c>
      <c r="W33" s="10" t="s">
        <v>673</v>
      </c>
    </row>
    <row r="34" spans="1:23" ht="18" x14ac:dyDescent="0.3">
      <c r="A34" s="19" t="s">
        <v>20</v>
      </c>
      <c r="B34" s="21">
        <v>29</v>
      </c>
      <c r="C34" s="30" t="s">
        <v>388</v>
      </c>
      <c r="D34" s="32" t="s">
        <v>4</v>
      </c>
      <c r="E34" s="61" t="s">
        <v>430</v>
      </c>
      <c r="F34" s="3" t="s">
        <v>431</v>
      </c>
      <c r="G34" s="5">
        <v>105.324173</v>
      </c>
      <c r="H34" s="5">
        <v>10.361739999999999</v>
      </c>
      <c r="I34" s="5">
        <v>105.323801</v>
      </c>
      <c r="J34" s="5">
        <v>10.362037000000001</v>
      </c>
      <c r="K34" s="3">
        <v>120</v>
      </c>
      <c r="L34" s="3"/>
      <c r="M34" s="13"/>
      <c r="N34" s="30">
        <v>1</v>
      </c>
      <c r="O34" s="13"/>
      <c r="P34" s="30"/>
      <c r="Q34" s="30">
        <v>1</v>
      </c>
      <c r="R34" s="30">
        <v>1</v>
      </c>
      <c r="S34" s="3"/>
      <c r="T34" s="47" t="s">
        <v>592</v>
      </c>
      <c r="U34" s="49">
        <v>1</v>
      </c>
      <c r="V34" s="10" t="s">
        <v>664</v>
      </c>
      <c r="W34" s="10"/>
    </row>
    <row r="35" spans="1:23" ht="18" x14ac:dyDescent="0.3">
      <c r="A35" s="19" t="s">
        <v>20</v>
      </c>
      <c r="B35" s="21">
        <v>30</v>
      </c>
      <c r="C35" s="30" t="s">
        <v>388</v>
      </c>
      <c r="D35" s="32" t="s">
        <v>4</v>
      </c>
      <c r="E35" s="61" t="s">
        <v>431</v>
      </c>
      <c r="F35" s="63" t="s">
        <v>674</v>
      </c>
      <c r="G35" s="5">
        <v>105.323801</v>
      </c>
      <c r="H35" s="5">
        <v>10.362037000000001</v>
      </c>
      <c r="I35" s="62">
        <v>105.32466100000001</v>
      </c>
      <c r="J35" s="62">
        <v>10.363193000000001</v>
      </c>
      <c r="K35" s="3">
        <v>300</v>
      </c>
      <c r="L35" s="3"/>
      <c r="M35" s="13"/>
      <c r="N35" s="30"/>
      <c r="O35" s="13"/>
      <c r="P35" s="30"/>
      <c r="Q35" s="30">
        <v>1</v>
      </c>
      <c r="R35" s="30"/>
      <c r="S35" s="3"/>
      <c r="T35" s="19" t="s">
        <v>592</v>
      </c>
      <c r="U35" s="49">
        <v>1</v>
      </c>
      <c r="V35" s="10" t="s">
        <v>664</v>
      </c>
      <c r="W35" s="10" t="s">
        <v>675</v>
      </c>
    </row>
    <row r="36" spans="1:23" ht="18" x14ac:dyDescent="0.3">
      <c r="A36" s="19" t="s">
        <v>20</v>
      </c>
      <c r="B36" s="21">
        <v>31</v>
      </c>
      <c r="C36" s="30" t="s">
        <v>388</v>
      </c>
      <c r="D36" s="32" t="s">
        <v>4</v>
      </c>
      <c r="E36" s="63" t="s">
        <v>674</v>
      </c>
      <c r="F36" s="3" t="s">
        <v>432</v>
      </c>
      <c r="G36" s="62">
        <v>105.32466100000001</v>
      </c>
      <c r="H36" s="62">
        <v>10.363193000000001</v>
      </c>
      <c r="I36" s="5">
        <v>105.326927</v>
      </c>
      <c r="J36" s="5">
        <v>10.365916</v>
      </c>
      <c r="K36" s="3">
        <v>300</v>
      </c>
      <c r="L36" s="3"/>
      <c r="M36" s="13"/>
      <c r="N36" s="30"/>
      <c r="O36" s="13"/>
      <c r="P36" s="30"/>
      <c r="Q36" s="30">
        <v>1</v>
      </c>
      <c r="R36" s="30"/>
      <c r="S36" s="3"/>
      <c r="T36" s="19" t="s">
        <v>592</v>
      </c>
      <c r="U36" s="49">
        <v>1</v>
      </c>
      <c r="V36" s="10" t="s">
        <v>664</v>
      </c>
      <c r="W36" s="10"/>
    </row>
    <row r="37" spans="1:23" ht="18" x14ac:dyDescent="0.3">
      <c r="A37" s="19" t="s">
        <v>20</v>
      </c>
      <c r="B37" s="21">
        <v>32</v>
      </c>
      <c r="C37" s="30" t="s">
        <v>388</v>
      </c>
      <c r="D37" s="32" t="s">
        <v>4</v>
      </c>
      <c r="E37" s="61" t="s">
        <v>432</v>
      </c>
      <c r="F37" s="3" t="s">
        <v>433</v>
      </c>
      <c r="G37" s="5">
        <v>105.326927</v>
      </c>
      <c r="H37" s="5">
        <v>10.365916</v>
      </c>
      <c r="I37" s="62">
        <v>105.32778500000001</v>
      </c>
      <c r="J37" s="62">
        <v>10.366925</v>
      </c>
      <c r="K37" s="3">
        <v>280</v>
      </c>
      <c r="L37" s="3"/>
      <c r="M37" s="13"/>
      <c r="N37" s="30"/>
      <c r="O37" s="13"/>
      <c r="P37" s="30"/>
      <c r="Q37" s="30">
        <v>1</v>
      </c>
      <c r="R37" s="30"/>
      <c r="S37" s="3"/>
      <c r="T37" s="19" t="s">
        <v>592</v>
      </c>
      <c r="U37" s="49">
        <v>1</v>
      </c>
      <c r="V37" s="10" t="s">
        <v>664</v>
      </c>
      <c r="W37" s="10" t="s">
        <v>676</v>
      </c>
    </row>
    <row r="38" spans="1:23" ht="18" x14ac:dyDescent="0.3">
      <c r="A38" s="19" t="s">
        <v>20</v>
      </c>
      <c r="B38" s="21">
        <v>33</v>
      </c>
      <c r="C38" s="30" t="s">
        <v>388</v>
      </c>
      <c r="D38" s="32" t="s">
        <v>4</v>
      </c>
      <c r="E38" s="61" t="s">
        <v>433</v>
      </c>
      <c r="F38" s="3" t="s">
        <v>434</v>
      </c>
      <c r="G38" s="62">
        <v>105.32778500000001</v>
      </c>
      <c r="H38" s="62">
        <v>10.366925</v>
      </c>
      <c r="I38" s="5">
        <v>105.330264</v>
      </c>
      <c r="J38" s="5">
        <v>10.36989</v>
      </c>
      <c r="K38" s="3">
        <v>370</v>
      </c>
      <c r="L38" s="3"/>
      <c r="M38" s="13"/>
      <c r="N38" s="30">
        <v>1</v>
      </c>
      <c r="O38" s="13"/>
      <c r="P38" s="30"/>
      <c r="Q38" s="30">
        <v>1</v>
      </c>
      <c r="R38" s="30"/>
      <c r="S38" s="3"/>
      <c r="T38" s="19" t="s">
        <v>592</v>
      </c>
      <c r="U38" s="49">
        <v>1</v>
      </c>
      <c r="V38" s="10" t="s">
        <v>664</v>
      </c>
      <c r="W38" s="10"/>
    </row>
    <row r="39" spans="1:23" ht="18" x14ac:dyDescent="0.3">
      <c r="A39" s="19" t="s">
        <v>20</v>
      </c>
      <c r="B39" s="21">
        <v>34</v>
      </c>
      <c r="C39" s="30" t="s">
        <v>388</v>
      </c>
      <c r="D39" s="32" t="s">
        <v>4</v>
      </c>
      <c r="E39" s="61" t="s">
        <v>434</v>
      </c>
      <c r="F39" s="3" t="s">
        <v>435</v>
      </c>
      <c r="G39" s="5">
        <v>105.330264</v>
      </c>
      <c r="H39" s="5">
        <v>10.36989</v>
      </c>
      <c r="I39" s="62">
        <v>105.33093100000001</v>
      </c>
      <c r="J39" s="62">
        <v>10.370727</v>
      </c>
      <c r="K39" s="3">
        <v>250</v>
      </c>
      <c r="L39" s="3"/>
      <c r="M39" s="13"/>
      <c r="N39" s="30"/>
      <c r="O39" s="13"/>
      <c r="P39" s="30"/>
      <c r="Q39" s="30">
        <v>1</v>
      </c>
      <c r="R39" s="30"/>
      <c r="S39" s="3"/>
      <c r="T39" s="19" t="s">
        <v>592</v>
      </c>
      <c r="U39" s="49">
        <v>1</v>
      </c>
      <c r="V39" s="10" t="s">
        <v>664</v>
      </c>
      <c r="W39" s="10" t="s">
        <v>677</v>
      </c>
    </row>
    <row r="40" spans="1:23" ht="18" x14ac:dyDescent="0.3">
      <c r="A40" s="19" t="s">
        <v>20</v>
      </c>
      <c r="B40" s="21">
        <v>35</v>
      </c>
      <c r="C40" s="30" t="s">
        <v>388</v>
      </c>
      <c r="D40" s="32" t="s">
        <v>4</v>
      </c>
      <c r="E40" s="61" t="s">
        <v>435</v>
      </c>
      <c r="F40" s="3" t="s">
        <v>436</v>
      </c>
      <c r="G40" s="62">
        <v>105.33093100000001</v>
      </c>
      <c r="H40" s="62">
        <v>10.370727</v>
      </c>
      <c r="I40" s="5">
        <v>105.333506</v>
      </c>
      <c r="J40" s="5">
        <v>10.373796</v>
      </c>
      <c r="K40" s="3">
        <v>200</v>
      </c>
      <c r="L40" s="3"/>
      <c r="M40" s="13"/>
      <c r="N40" s="30"/>
      <c r="O40" s="13"/>
      <c r="P40" s="30"/>
      <c r="Q40" s="30">
        <v>1</v>
      </c>
      <c r="R40" s="30"/>
      <c r="S40" s="3"/>
      <c r="T40" s="19" t="s">
        <v>592</v>
      </c>
      <c r="U40" s="49">
        <v>1</v>
      </c>
      <c r="V40" s="10" t="s">
        <v>664</v>
      </c>
      <c r="W40" s="10"/>
    </row>
    <row r="41" spans="1:23" ht="18" x14ac:dyDescent="0.3">
      <c r="A41" s="19" t="s">
        <v>20</v>
      </c>
      <c r="B41" s="21">
        <v>36</v>
      </c>
      <c r="C41" s="30" t="s">
        <v>388</v>
      </c>
      <c r="D41" s="32" t="s">
        <v>4</v>
      </c>
      <c r="E41" s="61" t="s">
        <v>436</v>
      </c>
      <c r="F41" s="3" t="s">
        <v>437</v>
      </c>
      <c r="G41" s="5">
        <v>105.333506</v>
      </c>
      <c r="H41" s="5">
        <v>10.373796</v>
      </c>
      <c r="I41" s="5">
        <v>105.33533300000001</v>
      </c>
      <c r="J41" s="5">
        <v>10.376045</v>
      </c>
      <c r="K41" s="3">
        <v>370</v>
      </c>
      <c r="L41" s="3"/>
      <c r="M41" s="13"/>
      <c r="N41" s="30"/>
      <c r="O41" s="13"/>
      <c r="P41" s="30"/>
      <c r="Q41" s="30">
        <v>1</v>
      </c>
      <c r="R41" s="30"/>
      <c r="S41" s="3"/>
      <c r="T41" s="19" t="s">
        <v>592</v>
      </c>
      <c r="U41" s="49">
        <v>1</v>
      </c>
      <c r="V41" s="10" t="s">
        <v>664</v>
      </c>
      <c r="W41" s="10"/>
    </row>
    <row r="42" spans="1:23" ht="18" x14ac:dyDescent="0.3">
      <c r="A42" s="19" t="s">
        <v>20</v>
      </c>
      <c r="B42" s="21">
        <v>37</v>
      </c>
      <c r="C42" s="30" t="s">
        <v>388</v>
      </c>
      <c r="D42" s="26" t="s">
        <v>4</v>
      </c>
      <c r="E42" s="61" t="s">
        <v>437</v>
      </c>
      <c r="F42" s="3" t="s">
        <v>438</v>
      </c>
      <c r="G42" s="5">
        <v>105.33533300000001</v>
      </c>
      <c r="H42" s="5">
        <v>10.376045</v>
      </c>
      <c r="I42" s="5">
        <v>105.33622099999999</v>
      </c>
      <c r="J42" s="5">
        <v>10.376982999999999</v>
      </c>
      <c r="K42" s="3">
        <v>200</v>
      </c>
      <c r="L42" s="3"/>
      <c r="M42" s="13"/>
      <c r="N42" s="3">
        <v>1</v>
      </c>
      <c r="O42" s="13"/>
      <c r="P42" s="3"/>
      <c r="Q42" s="3">
        <v>1</v>
      </c>
      <c r="R42" s="3"/>
      <c r="S42" s="3"/>
      <c r="T42" s="19" t="s">
        <v>592</v>
      </c>
      <c r="U42" s="49">
        <v>1</v>
      </c>
      <c r="V42" s="10" t="s">
        <v>664</v>
      </c>
      <c r="W42" s="10"/>
    </row>
    <row r="43" spans="1:23" ht="18" x14ac:dyDescent="0.3">
      <c r="A43" s="19" t="s">
        <v>20</v>
      </c>
      <c r="B43" s="21">
        <v>38</v>
      </c>
      <c r="C43" s="30" t="s">
        <v>388</v>
      </c>
      <c r="D43" s="26" t="s">
        <v>4</v>
      </c>
      <c r="E43" s="61" t="s">
        <v>438</v>
      </c>
      <c r="F43" s="3" t="s">
        <v>439</v>
      </c>
      <c r="G43" s="5">
        <v>105.33622099999999</v>
      </c>
      <c r="H43" s="5">
        <v>10.376982999999999</v>
      </c>
      <c r="I43" s="5">
        <v>105.337108</v>
      </c>
      <c r="J43" s="5">
        <v>10.378112</v>
      </c>
      <c r="K43" s="3">
        <v>220</v>
      </c>
      <c r="L43" s="3"/>
      <c r="M43" s="13"/>
      <c r="N43" s="3"/>
      <c r="O43" s="13"/>
      <c r="P43" s="3"/>
      <c r="Q43" s="3">
        <v>1</v>
      </c>
      <c r="R43" s="3"/>
      <c r="S43" s="3"/>
      <c r="T43" s="19" t="s">
        <v>592</v>
      </c>
      <c r="U43" s="49">
        <v>1</v>
      </c>
      <c r="V43" s="10" t="s">
        <v>664</v>
      </c>
      <c r="W43" s="10"/>
    </row>
    <row r="44" spans="1:23" ht="18" x14ac:dyDescent="0.3">
      <c r="A44" s="19" t="s">
        <v>20</v>
      </c>
      <c r="B44" s="21">
        <v>39</v>
      </c>
      <c r="C44" s="30" t="s">
        <v>388</v>
      </c>
      <c r="D44" s="26" t="s">
        <v>4</v>
      </c>
      <c r="E44" s="61" t="s">
        <v>439</v>
      </c>
      <c r="F44" s="3" t="s">
        <v>440</v>
      </c>
      <c r="G44" s="5">
        <v>105.337108</v>
      </c>
      <c r="H44" s="5">
        <v>10.378112</v>
      </c>
      <c r="I44" s="5">
        <v>105.338334</v>
      </c>
      <c r="J44" s="5">
        <v>10.379648</v>
      </c>
      <c r="K44" s="3">
        <v>270</v>
      </c>
      <c r="L44" s="3"/>
      <c r="M44" s="13"/>
      <c r="N44" s="3"/>
      <c r="O44" s="13"/>
      <c r="P44" s="3"/>
      <c r="Q44" s="3">
        <v>1</v>
      </c>
      <c r="R44" s="3"/>
      <c r="S44" s="3"/>
      <c r="T44" s="19" t="s">
        <v>592</v>
      </c>
      <c r="U44" s="49">
        <v>1</v>
      </c>
      <c r="V44" s="10" t="s">
        <v>664</v>
      </c>
      <c r="W44" s="10"/>
    </row>
    <row r="45" spans="1:23" ht="18" x14ac:dyDescent="0.3">
      <c r="A45" s="19" t="s">
        <v>21</v>
      </c>
      <c r="B45" s="21">
        <v>40</v>
      </c>
      <c r="C45" s="30" t="s">
        <v>388</v>
      </c>
      <c r="D45" s="26" t="s">
        <v>4</v>
      </c>
      <c r="E45" s="61" t="s">
        <v>440</v>
      </c>
      <c r="F45" s="3" t="s">
        <v>441</v>
      </c>
      <c r="G45" s="5">
        <v>105.338334</v>
      </c>
      <c r="H45" s="5">
        <v>10.379648</v>
      </c>
      <c r="I45" s="5">
        <v>105.34005000000001</v>
      </c>
      <c r="J45" s="5">
        <v>10.3817</v>
      </c>
      <c r="K45" s="3">
        <v>350</v>
      </c>
      <c r="L45" s="3"/>
      <c r="M45" s="13"/>
      <c r="N45" s="3"/>
      <c r="O45" s="13"/>
      <c r="P45" s="3"/>
      <c r="Q45" s="3">
        <v>1</v>
      </c>
      <c r="R45" s="3"/>
      <c r="S45" s="3"/>
      <c r="T45" s="19" t="s">
        <v>592</v>
      </c>
      <c r="U45" s="49">
        <v>1</v>
      </c>
      <c r="V45" s="10" t="s">
        <v>664</v>
      </c>
      <c r="W45" s="10"/>
    </row>
    <row r="46" spans="1:23" ht="18" x14ac:dyDescent="0.3">
      <c r="A46" s="19" t="s">
        <v>21</v>
      </c>
      <c r="B46" s="21">
        <v>41</v>
      </c>
      <c r="C46" s="30" t="s">
        <v>388</v>
      </c>
      <c r="D46" s="26" t="s">
        <v>442</v>
      </c>
      <c r="E46" s="61" t="s">
        <v>443</v>
      </c>
      <c r="F46" s="3" t="s">
        <v>444</v>
      </c>
      <c r="G46" s="5">
        <v>105.3603</v>
      </c>
      <c r="H46" s="5">
        <v>10.36877</v>
      </c>
      <c r="I46" s="5">
        <v>105.3614</v>
      </c>
      <c r="J46" s="5">
        <v>10.36838</v>
      </c>
      <c r="K46" s="3">
        <v>300</v>
      </c>
      <c r="L46" s="3"/>
      <c r="M46" s="13"/>
      <c r="N46" s="3">
        <v>1</v>
      </c>
      <c r="O46" s="13"/>
      <c r="P46" s="3"/>
      <c r="Q46" s="3">
        <v>1</v>
      </c>
      <c r="R46" s="3">
        <v>1</v>
      </c>
      <c r="S46" s="3"/>
      <c r="T46" s="19" t="s">
        <v>593</v>
      </c>
      <c r="U46" s="49">
        <v>1</v>
      </c>
      <c r="V46" s="10" t="s">
        <v>664</v>
      </c>
      <c r="W46" s="10"/>
    </row>
    <row r="47" spans="1:23" ht="18" x14ac:dyDescent="0.3">
      <c r="A47" s="19" t="s">
        <v>21</v>
      </c>
      <c r="B47" s="21">
        <v>42</v>
      </c>
      <c r="C47" s="30" t="s">
        <v>388</v>
      </c>
      <c r="D47" s="26" t="s">
        <v>442</v>
      </c>
      <c r="E47" s="61" t="s">
        <v>444</v>
      </c>
      <c r="F47" s="3" t="s">
        <v>445</v>
      </c>
      <c r="G47" s="5">
        <v>105.3614</v>
      </c>
      <c r="H47" s="5">
        <v>10.36838</v>
      </c>
      <c r="I47" s="5">
        <v>105.36313</v>
      </c>
      <c r="J47" s="5">
        <v>10.367710000000001</v>
      </c>
      <c r="K47" s="3">
        <v>250</v>
      </c>
      <c r="L47" s="3"/>
      <c r="M47" s="13"/>
      <c r="N47" s="3"/>
      <c r="O47" s="13"/>
      <c r="P47" s="3"/>
      <c r="Q47" s="3">
        <v>1</v>
      </c>
      <c r="R47" s="3"/>
      <c r="S47" s="3"/>
      <c r="T47" s="19" t="s">
        <v>593</v>
      </c>
      <c r="U47" s="49">
        <v>1</v>
      </c>
      <c r="V47" s="10" t="s">
        <v>664</v>
      </c>
      <c r="W47" s="10"/>
    </row>
    <row r="48" spans="1:23" ht="18" x14ac:dyDescent="0.3">
      <c r="A48" s="19" t="s">
        <v>21</v>
      </c>
      <c r="B48" s="21">
        <v>43</v>
      </c>
      <c r="C48" s="30" t="s">
        <v>388</v>
      </c>
      <c r="D48" s="26" t="s">
        <v>442</v>
      </c>
      <c r="E48" s="61" t="s">
        <v>445</v>
      </c>
      <c r="F48" s="3" t="s">
        <v>446</v>
      </c>
      <c r="G48" s="5">
        <v>105.36313</v>
      </c>
      <c r="H48" s="5">
        <v>10.367710000000001</v>
      </c>
      <c r="I48" s="5">
        <v>105.36614</v>
      </c>
      <c r="J48" s="5">
        <v>10.36585</v>
      </c>
      <c r="K48" s="3">
        <v>460</v>
      </c>
      <c r="L48" s="3"/>
      <c r="M48" s="13"/>
      <c r="N48" s="3"/>
      <c r="O48" s="13"/>
      <c r="P48" s="3"/>
      <c r="Q48" s="3">
        <v>1</v>
      </c>
      <c r="R48" s="3"/>
      <c r="S48" s="3"/>
      <c r="T48" s="19" t="s">
        <v>593</v>
      </c>
      <c r="U48" s="49">
        <v>1</v>
      </c>
      <c r="V48" s="10" t="s">
        <v>664</v>
      </c>
      <c r="W48" s="10"/>
    </row>
    <row r="49" spans="1:23" ht="18" x14ac:dyDescent="0.3">
      <c r="A49" s="19" t="s">
        <v>21</v>
      </c>
      <c r="B49" s="21">
        <v>44</v>
      </c>
      <c r="C49" s="30" t="s">
        <v>388</v>
      </c>
      <c r="D49" s="26" t="s">
        <v>442</v>
      </c>
      <c r="E49" s="61" t="s">
        <v>446</v>
      </c>
      <c r="F49" s="3" t="s">
        <v>447</v>
      </c>
      <c r="G49" s="5">
        <v>105.36614</v>
      </c>
      <c r="H49" s="5">
        <v>10.36585</v>
      </c>
      <c r="I49" s="5">
        <v>105.366373</v>
      </c>
      <c r="J49" s="5">
        <v>10.366108000000001</v>
      </c>
      <c r="K49" s="3">
        <v>250</v>
      </c>
      <c r="L49" s="3"/>
      <c r="M49" s="13"/>
      <c r="N49" s="3"/>
      <c r="O49" s="13"/>
      <c r="P49" s="3"/>
      <c r="Q49" s="3">
        <v>1</v>
      </c>
      <c r="R49" s="3"/>
      <c r="S49" s="3"/>
      <c r="T49" s="19" t="s">
        <v>593</v>
      </c>
      <c r="U49" s="49">
        <v>1</v>
      </c>
      <c r="V49" s="10" t="s">
        <v>664</v>
      </c>
      <c r="W49" s="10"/>
    </row>
    <row r="50" spans="1:23" ht="18" x14ac:dyDescent="0.3">
      <c r="A50" s="19" t="s">
        <v>21</v>
      </c>
      <c r="B50" s="21">
        <v>45</v>
      </c>
      <c r="C50" s="30" t="s">
        <v>388</v>
      </c>
      <c r="D50" s="26" t="s">
        <v>442</v>
      </c>
      <c r="E50" s="61" t="s">
        <v>447</v>
      </c>
      <c r="F50" s="3" t="s">
        <v>448</v>
      </c>
      <c r="G50" s="5">
        <v>105.366373</v>
      </c>
      <c r="H50" s="5">
        <v>10.366108000000001</v>
      </c>
      <c r="I50" s="5">
        <v>105.367041</v>
      </c>
      <c r="J50" s="5">
        <v>10.365243</v>
      </c>
      <c r="K50" s="3">
        <v>200</v>
      </c>
      <c r="L50" s="3"/>
      <c r="M50" s="13"/>
      <c r="N50" s="3">
        <v>1</v>
      </c>
      <c r="O50" s="13"/>
      <c r="P50" s="3"/>
      <c r="Q50" s="3">
        <v>1</v>
      </c>
      <c r="R50" s="3"/>
      <c r="S50" s="3"/>
      <c r="T50" s="19" t="s">
        <v>593</v>
      </c>
      <c r="U50" s="49">
        <v>1</v>
      </c>
      <c r="V50" s="10" t="s">
        <v>664</v>
      </c>
      <c r="W50" s="10"/>
    </row>
    <row r="51" spans="1:23" ht="18" x14ac:dyDescent="0.3">
      <c r="A51" s="19" t="s">
        <v>21</v>
      </c>
      <c r="B51" s="21">
        <v>46</v>
      </c>
      <c r="C51" s="30" t="s">
        <v>388</v>
      </c>
      <c r="D51" s="26" t="s">
        <v>442</v>
      </c>
      <c r="E51" s="61" t="s">
        <v>448</v>
      </c>
      <c r="F51" s="3" t="s">
        <v>449</v>
      </c>
      <c r="G51" s="5">
        <v>105.367041</v>
      </c>
      <c r="H51" s="5">
        <v>10.365243</v>
      </c>
      <c r="I51" s="5">
        <v>105.367546</v>
      </c>
      <c r="J51" s="5">
        <v>10.364299000000001</v>
      </c>
      <c r="K51" s="3">
        <v>200</v>
      </c>
      <c r="L51" s="3"/>
      <c r="M51" s="13"/>
      <c r="N51" s="3"/>
      <c r="O51" s="13"/>
      <c r="P51" s="3"/>
      <c r="Q51" s="3">
        <v>1</v>
      </c>
      <c r="R51" s="3"/>
      <c r="S51" s="3"/>
      <c r="T51" s="19" t="s">
        <v>593</v>
      </c>
      <c r="U51" s="49">
        <v>1</v>
      </c>
      <c r="V51" s="10" t="s">
        <v>664</v>
      </c>
      <c r="W51" s="10"/>
    </row>
    <row r="52" spans="1:23" ht="18" x14ac:dyDescent="0.3">
      <c r="A52" s="19" t="s">
        <v>21</v>
      </c>
      <c r="B52" s="21">
        <v>47</v>
      </c>
      <c r="C52" s="30" t="s">
        <v>388</v>
      </c>
      <c r="D52" s="26" t="s">
        <v>442</v>
      </c>
      <c r="E52" s="61" t="s">
        <v>449</v>
      </c>
      <c r="F52" s="3" t="s">
        <v>450</v>
      </c>
      <c r="G52" s="5">
        <v>105.367546</v>
      </c>
      <c r="H52" s="5">
        <v>10.364299000000001</v>
      </c>
      <c r="I52" s="5">
        <v>105.368337</v>
      </c>
      <c r="J52" s="5">
        <v>10.364083000000001</v>
      </c>
      <c r="K52" s="3">
        <v>190</v>
      </c>
      <c r="L52" s="3"/>
      <c r="M52" s="13"/>
      <c r="N52" s="3"/>
      <c r="O52" s="13"/>
      <c r="P52" s="3"/>
      <c r="Q52" s="3">
        <v>1</v>
      </c>
      <c r="R52" s="3"/>
      <c r="S52" s="3"/>
      <c r="T52" s="19" t="s">
        <v>593</v>
      </c>
      <c r="U52" s="49">
        <v>1</v>
      </c>
      <c r="V52" s="10" t="s">
        <v>664</v>
      </c>
      <c r="W52" s="10"/>
    </row>
    <row r="53" spans="1:23" ht="18" x14ac:dyDescent="0.3">
      <c r="A53" s="19" t="s">
        <v>23</v>
      </c>
      <c r="B53" s="21">
        <v>48</v>
      </c>
      <c r="C53" s="30" t="s">
        <v>388</v>
      </c>
      <c r="D53" s="26" t="s">
        <v>442</v>
      </c>
      <c r="E53" s="61" t="s">
        <v>450</v>
      </c>
      <c r="F53" s="3" t="s">
        <v>451</v>
      </c>
      <c r="G53" s="5">
        <v>105.368337</v>
      </c>
      <c r="H53" s="5">
        <v>10.364083000000001</v>
      </c>
      <c r="I53" s="5">
        <v>105.369497</v>
      </c>
      <c r="J53" s="5">
        <v>10.363429</v>
      </c>
      <c r="K53" s="3">
        <v>220</v>
      </c>
      <c r="L53" s="3"/>
      <c r="M53" s="13"/>
      <c r="N53" s="3"/>
      <c r="O53" s="13"/>
      <c r="P53" s="3"/>
      <c r="Q53" s="3">
        <v>1</v>
      </c>
      <c r="R53" s="3"/>
      <c r="S53" s="3"/>
      <c r="T53" s="19" t="s">
        <v>593</v>
      </c>
      <c r="U53" s="49">
        <v>1</v>
      </c>
      <c r="V53" s="10" t="s">
        <v>664</v>
      </c>
      <c r="W53" s="10"/>
    </row>
    <row r="54" spans="1:23" ht="18" x14ac:dyDescent="0.3">
      <c r="A54" s="19" t="s">
        <v>23</v>
      </c>
      <c r="B54" s="21">
        <v>49</v>
      </c>
      <c r="C54" s="30" t="s">
        <v>388</v>
      </c>
      <c r="D54" s="26" t="s">
        <v>442</v>
      </c>
      <c r="E54" s="61" t="s">
        <v>451</v>
      </c>
      <c r="F54" s="3" t="s">
        <v>452</v>
      </c>
      <c r="G54" s="5">
        <v>105.369497</v>
      </c>
      <c r="H54" s="5">
        <v>10.363429</v>
      </c>
      <c r="I54" s="5">
        <v>105.369984</v>
      </c>
      <c r="J54" s="5">
        <v>10.362537</v>
      </c>
      <c r="K54" s="3">
        <v>220</v>
      </c>
      <c r="L54" s="3"/>
      <c r="M54" s="13"/>
      <c r="N54" s="3">
        <v>1</v>
      </c>
      <c r="O54" s="13"/>
      <c r="P54" s="3"/>
      <c r="Q54" s="3">
        <v>1</v>
      </c>
      <c r="R54" s="3"/>
      <c r="S54" s="3"/>
      <c r="T54" s="19" t="s">
        <v>593</v>
      </c>
      <c r="U54" s="49">
        <v>1</v>
      </c>
      <c r="V54" s="10" t="s">
        <v>664</v>
      </c>
      <c r="W54" s="10"/>
    </row>
    <row r="55" spans="1:23" ht="18" x14ac:dyDescent="0.3">
      <c r="A55" s="19" t="s">
        <v>23</v>
      </c>
      <c r="B55" s="21">
        <v>50</v>
      </c>
      <c r="C55" s="30" t="s">
        <v>388</v>
      </c>
      <c r="D55" s="26" t="s">
        <v>442</v>
      </c>
      <c r="E55" s="61" t="s">
        <v>452</v>
      </c>
      <c r="F55" s="3" t="s">
        <v>453</v>
      </c>
      <c r="G55" s="5">
        <v>105.369984</v>
      </c>
      <c r="H55" s="5">
        <v>10.362537</v>
      </c>
      <c r="I55" s="5">
        <v>105.36962200000001</v>
      </c>
      <c r="J55" s="5">
        <v>10.360619</v>
      </c>
      <c r="K55" s="3">
        <v>300</v>
      </c>
      <c r="L55" s="3"/>
      <c r="M55" s="13"/>
      <c r="N55" s="3"/>
      <c r="O55" s="13"/>
      <c r="P55" s="3"/>
      <c r="Q55" s="3">
        <v>1</v>
      </c>
      <c r="R55" s="3"/>
      <c r="S55" s="3"/>
      <c r="T55" s="19" t="s">
        <v>593</v>
      </c>
      <c r="U55" s="49">
        <v>1</v>
      </c>
      <c r="V55" s="10" t="s">
        <v>664</v>
      </c>
      <c r="W55" s="10"/>
    </row>
    <row r="56" spans="1:23" ht="18" x14ac:dyDescent="0.3">
      <c r="A56" s="19" t="s">
        <v>23</v>
      </c>
      <c r="B56" s="21">
        <v>51</v>
      </c>
      <c r="C56" s="30" t="s">
        <v>388</v>
      </c>
      <c r="D56" s="26" t="s">
        <v>442</v>
      </c>
      <c r="E56" s="61" t="s">
        <v>453</v>
      </c>
      <c r="F56" s="3" t="s">
        <v>454</v>
      </c>
      <c r="G56" s="5">
        <v>105.36962200000001</v>
      </c>
      <c r="H56" s="5">
        <v>10.360619</v>
      </c>
      <c r="I56" s="5">
        <v>105.369227</v>
      </c>
      <c r="J56" s="5">
        <v>10.359465</v>
      </c>
      <c r="K56" s="3">
        <v>200</v>
      </c>
      <c r="L56" s="3"/>
      <c r="M56" s="13"/>
      <c r="N56" s="3"/>
      <c r="O56" s="13"/>
      <c r="P56" s="3"/>
      <c r="Q56" s="3">
        <v>1</v>
      </c>
      <c r="R56" s="3"/>
      <c r="S56" s="3"/>
      <c r="T56" s="19" t="s">
        <v>593</v>
      </c>
      <c r="U56" s="49">
        <v>1</v>
      </c>
      <c r="V56" s="10" t="s">
        <v>664</v>
      </c>
      <c r="W56" s="10"/>
    </row>
    <row r="57" spans="1:23" ht="18" x14ac:dyDescent="0.3">
      <c r="A57" s="19" t="s">
        <v>23</v>
      </c>
      <c r="B57" s="21">
        <v>52</v>
      </c>
      <c r="C57" s="30" t="s">
        <v>388</v>
      </c>
      <c r="D57" s="26" t="s">
        <v>442</v>
      </c>
      <c r="E57" s="61" t="s">
        <v>454</v>
      </c>
      <c r="F57" s="3" t="s">
        <v>455</v>
      </c>
      <c r="G57" s="5">
        <v>105.369227</v>
      </c>
      <c r="H57" s="5">
        <v>10.359465</v>
      </c>
      <c r="I57" s="5">
        <v>105.368454</v>
      </c>
      <c r="J57" s="5">
        <v>10.3595101</v>
      </c>
      <c r="K57" s="3">
        <v>180</v>
      </c>
      <c r="L57" s="3"/>
      <c r="M57" s="13"/>
      <c r="N57" s="3"/>
      <c r="O57" s="13"/>
      <c r="P57" s="3"/>
      <c r="Q57" s="3">
        <v>1</v>
      </c>
      <c r="R57" s="3"/>
      <c r="S57" s="3"/>
      <c r="T57" s="19" t="s">
        <v>593</v>
      </c>
      <c r="U57" s="49">
        <v>1</v>
      </c>
      <c r="V57" s="10" t="s">
        <v>664</v>
      </c>
      <c r="W57" s="10"/>
    </row>
    <row r="58" spans="1:23" ht="18" x14ac:dyDescent="0.3">
      <c r="A58" s="19" t="s">
        <v>23</v>
      </c>
      <c r="B58" s="21">
        <v>53</v>
      </c>
      <c r="C58" s="3" t="s">
        <v>388</v>
      </c>
      <c r="D58" s="26" t="s">
        <v>442</v>
      </c>
      <c r="E58" s="61" t="s">
        <v>455</v>
      </c>
      <c r="F58" s="3" t="s">
        <v>456</v>
      </c>
      <c r="G58" s="5">
        <v>105.368454</v>
      </c>
      <c r="H58" s="5">
        <v>10.3595101</v>
      </c>
      <c r="I58" s="5">
        <v>105.36736999999999</v>
      </c>
      <c r="J58" s="5">
        <v>10.359726999999999</v>
      </c>
      <c r="K58" s="3">
        <v>200</v>
      </c>
      <c r="L58" s="3"/>
      <c r="M58" s="13"/>
      <c r="N58" s="3">
        <v>1</v>
      </c>
      <c r="O58" s="13"/>
      <c r="P58" s="3"/>
      <c r="Q58" s="3">
        <v>1</v>
      </c>
      <c r="R58" s="3"/>
      <c r="S58" s="3"/>
      <c r="T58" s="19" t="s">
        <v>593</v>
      </c>
      <c r="U58" s="49">
        <v>1</v>
      </c>
      <c r="V58" s="10" t="s">
        <v>664</v>
      </c>
      <c r="W58" s="10"/>
    </row>
    <row r="59" spans="1:23" ht="18" x14ac:dyDescent="0.3">
      <c r="A59" s="19" t="s">
        <v>23</v>
      </c>
      <c r="B59" s="21">
        <v>54</v>
      </c>
      <c r="C59" s="3" t="s">
        <v>388</v>
      </c>
      <c r="D59" s="26" t="s">
        <v>442</v>
      </c>
      <c r="E59" s="61" t="s">
        <v>456</v>
      </c>
      <c r="F59" s="3" t="s">
        <v>457</v>
      </c>
      <c r="G59" s="5">
        <v>105.36736999999999</v>
      </c>
      <c r="H59" s="5">
        <v>10.359726999999999</v>
      </c>
      <c r="I59" s="5">
        <v>105.36608</v>
      </c>
      <c r="J59" s="5">
        <v>10.359572999999999</v>
      </c>
      <c r="K59" s="3">
        <v>230</v>
      </c>
      <c r="L59" s="3"/>
      <c r="M59" s="13"/>
      <c r="N59" s="3"/>
      <c r="O59" s="13"/>
      <c r="P59" s="3"/>
      <c r="Q59" s="3">
        <v>1</v>
      </c>
      <c r="R59" s="3"/>
      <c r="S59" s="3"/>
      <c r="T59" s="19" t="s">
        <v>593</v>
      </c>
      <c r="U59" s="49">
        <v>1</v>
      </c>
      <c r="V59" s="10" t="s">
        <v>664</v>
      </c>
      <c r="W59" s="10"/>
    </row>
    <row r="60" spans="1:23" ht="18" x14ac:dyDescent="0.3">
      <c r="A60" s="19" t="s">
        <v>23</v>
      </c>
      <c r="B60" s="21">
        <v>55</v>
      </c>
      <c r="C60" s="3" t="s">
        <v>388</v>
      </c>
      <c r="D60" s="26" t="s">
        <v>442</v>
      </c>
      <c r="E60" s="61" t="s">
        <v>457</v>
      </c>
      <c r="F60" s="3" t="s">
        <v>458</v>
      </c>
      <c r="G60" s="5">
        <v>105.36608</v>
      </c>
      <c r="H60" s="5">
        <v>10.359572999999999</v>
      </c>
      <c r="I60" s="5">
        <v>105.36465</v>
      </c>
      <c r="J60" s="5">
        <v>10.35872</v>
      </c>
      <c r="K60" s="3">
        <v>250</v>
      </c>
      <c r="L60" s="3"/>
      <c r="M60" s="13"/>
      <c r="N60" s="3"/>
      <c r="O60" s="13"/>
      <c r="P60" s="3"/>
      <c r="Q60" s="3">
        <v>1</v>
      </c>
      <c r="R60" s="3"/>
      <c r="S60" s="3"/>
      <c r="T60" s="19" t="s">
        <v>593</v>
      </c>
      <c r="U60" s="49">
        <v>1</v>
      </c>
      <c r="V60" s="10" t="s">
        <v>664</v>
      </c>
      <c r="W60" s="10"/>
    </row>
    <row r="61" spans="1:23" ht="18" x14ac:dyDescent="0.3">
      <c r="A61" s="19" t="s">
        <v>23</v>
      </c>
      <c r="B61" s="21">
        <v>56</v>
      </c>
      <c r="C61" s="3" t="s">
        <v>388</v>
      </c>
      <c r="D61" s="26" t="s">
        <v>442</v>
      </c>
      <c r="E61" s="64" t="s">
        <v>454</v>
      </c>
      <c r="F61" s="3" t="s">
        <v>459</v>
      </c>
      <c r="G61" s="62">
        <v>105.369227</v>
      </c>
      <c r="H61" s="62">
        <v>10.359465</v>
      </c>
      <c r="I61" s="5">
        <v>105.3689</v>
      </c>
      <c r="J61" s="5">
        <v>10.35694</v>
      </c>
      <c r="K61" s="3">
        <v>350</v>
      </c>
      <c r="L61" s="3"/>
      <c r="M61" s="13"/>
      <c r="N61" s="3"/>
      <c r="O61" s="13"/>
      <c r="P61" s="3"/>
      <c r="Q61" s="3">
        <v>1</v>
      </c>
      <c r="R61" s="3"/>
      <c r="S61" s="3"/>
      <c r="T61" s="19" t="s">
        <v>593</v>
      </c>
      <c r="U61" s="49">
        <v>1</v>
      </c>
      <c r="V61" s="10" t="s">
        <v>664</v>
      </c>
      <c r="W61" s="10"/>
    </row>
    <row r="62" spans="1:23" ht="18" x14ac:dyDescent="0.3">
      <c r="A62" s="19" t="s">
        <v>23</v>
      </c>
      <c r="B62" s="21">
        <v>57</v>
      </c>
      <c r="C62" s="3" t="s">
        <v>388</v>
      </c>
      <c r="D62" s="26" t="s">
        <v>442</v>
      </c>
      <c r="E62" s="61" t="s">
        <v>459</v>
      </c>
      <c r="F62" s="3" t="s">
        <v>460</v>
      </c>
      <c r="G62" s="5">
        <v>105.3689</v>
      </c>
      <c r="H62" s="5">
        <v>10.35694</v>
      </c>
      <c r="I62" s="5">
        <v>105.36807</v>
      </c>
      <c r="J62" s="5">
        <v>10.355919999999999</v>
      </c>
      <c r="K62" s="3">
        <v>220</v>
      </c>
      <c r="L62" s="3"/>
      <c r="M62" s="13"/>
      <c r="N62" s="3">
        <v>1</v>
      </c>
      <c r="O62" s="13"/>
      <c r="P62" s="3"/>
      <c r="Q62" s="3">
        <v>1</v>
      </c>
      <c r="R62" s="3"/>
      <c r="S62" s="3"/>
      <c r="T62" s="19" t="s">
        <v>593</v>
      </c>
      <c r="U62" s="49">
        <v>1</v>
      </c>
      <c r="V62" s="10" t="s">
        <v>664</v>
      </c>
      <c r="W62" s="10"/>
    </row>
    <row r="63" spans="1:23" ht="18" x14ac:dyDescent="0.3">
      <c r="A63" s="19" t="s">
        <v>23</v>
      </c>
      <c r="B63" s="21">
        <v>58</v>
      </c>
      <c r="C63" s="3" t="s">
        <v>388</v>
      </c>
      <c r="D63" s="26" t="s">
        <v>442</v>
      </c>
      <c r="E63" s="61" t="s">
        <v>460</v>
      </c>
      <c r="F63" s="3" t="s">
        <v>461</v>
      </c>
      <c r="G63" s="5">
        <v>105.36807</v>
      </c>
      <c r="H63" s="5">
        <v>10.355919999999999</v>
      </c>
      <c r="I63" s="5">
        <v>105.36673999999999</v>
      </c>
      <c r="J63" s="5">
        <v>10.35458</v>
      </c>
      <c r="K63" s="3">
        <v>260</v>
      </c>
      <c r="L63" s="3"/>
      <c r="M63" s="13"/>
      <c r="N63" s="3"/>
      <c r="O63" s="13"/>
      <c r="P63" s="3"/>
      <c r="Q63" s="3">
        <v>1</v>
      </c>
      <c r="R63" s="3"/>
      <c r="S63" s="3"/>
      <c r="T63" s="19" t="s">
        <v>593</v>
      </c>
      <c r="U63" s="49">
        <v>1</v>
      </c>
      <c r="V63" s="10" t="s">
        <v>664</v>
      </c>
      <c r="W63" s="10"/>
    </row>
    <row r="64" spans="1:23" ht="18" x14ac:dyDescent="0.3">
      <c r="A64" s="19" t="s">
        <v>23</v>
      </c>
      <c r="B64" s="21">
        <v>59</v>
      </c>
      <c r="C64" s="3" t="s">
        <v>388</v>
      </c>
      <c r="D64" s="26" t="s">
        <v>442</v>
      </c>
      <c r="E64" s="61" t="s">
        <v>461</v>
      </c>
      <c r="F64" s="3" t="s">
        <v>462</v>
      </c>
      <c r="G64" s="5">
        <v>105.36673999999999</v>
      </c>
      <c r="H64" s="5">
        <v>10.35458</v>
      </c>
      <c r="I64" s="5">
        <v>105.36552</v>
      </c>
      <c r="J64" s="5">
        <v>10.354039999999999</v>
      </c>
      <c r="K64" s="3">
        <v>220</v>
      </c>
      <c r="L64" s="3"/>
      <c r="M64" s="13"/>
      <c r="N64" s="3"/>
      <c r="O64" s="13"/>
      <c r="P64" s="3"/>
      <c r="Q64" s="3">
        <v>1</v>
      </c>
      <c r="R64" s="3"/>
      <c r="S64" s="3"/>
      <c r="T64" s="19" t="s">
        <v>593</v>
      </c>
      <c r="U64" s="49">
        <v>1</v>
      </c>
      <c r="V64" s="10" t="s">
        <v>664</v>
      </c>
      <c r="W64" s="10"/>
    </row>
    <row r="65" spans="1:23" ht="18" x14ac:dyDescent="0.3">
      <c r="A65" s="19" t="s">
        <v>23</v>
      </c>
      <c r="B65" s="21">
        <v>60</v>
      </c>
      <c r="C65" s="3" t="s">
        <v>388</v>
      </c>
      <c r="D65" s="26" t="s">
        <v>442</v>
      </c>
      <c r="E65" s="61" t="s">
        <v>462</v>
      </c>
      <c r="F65" s="3" t="s">
        <v>463</v>
      </c>
      <c r="G65" s="5">
        <v>105.36552</v>
      </c>
      <c r="H65" s="5">
        <v>10.354039999999999</v>
      </c>
      <c r="I65" s="5">
        <v>105.36412</v>
      </c>
      <c r="J65" s="5">
        <v>10.35347</v>
      </c>
      <c r="K65" s="3">
        <v>230</v>
      </c>
      <c r="L65" s="3"/>
      <c r="M65" s="13"/>
      <c r="N65" s="3"/>
      <c r="O65" s="13"/>
      <c r="P65" s="3"/>
      <c r="Q65" s="3">
        <v>1</v>
      </c>
      <c r="R65" s="3"/>
      <c r="S65" s="3"/>
      <c r="T65" s="19" t="s">
        <v>593</v>
      </c>
      <c r="U65" s="49">
        <v>1</v>
      </c>
      <c r="V65" s="3" t="s">
        <v>664</v>
      </c>
      <c r="W65" s="3"/>
    </row>
    <row r="66" spans="1:23" ht="18" x14ac:dyDescent="0.3">
      <c r="A66" s="19" t="s">
        <v>23</v>
      </c>
      <c r="B66" s="21">
        <v>61</v>
      </c>
      <c r="C66" s="3" t="s">
        <v>388</v>
      </c>
      <c r="D66" s="26" t="s">
        <v>464</v>
      </c>
      <c r="E66" s="61" t="s">
        <v>465</v>
      </c>
      <c r="F66" s="3" t="s">
        <v>466</v>
      </c>
      <c r="G66" s="5">
        <v>105.3075</v>
      </c>
      <c r="H66" s="5">
        <v>10.401400000000001</v>
      </c>
      <c r="I66" s="5">
        <v>105.306269</v>
      </c>
      <c r="J66" s="5">
        <v>10.404501</v>
      </c>
      <c r="K66" s="3">
        <v>400</v>
      </c>
      <c r="L66" s="3"/>
      <c r="M66" s="13"/>
      <c r="N66" s="3">
        <v>1</v>
      </c>
      <c r="O66" s="13"/>
      <c r="P66" s="3"/>
      <c r="Q66" s="3">
        <v>1</v>
      </c>
      <c r="R66" s="3">
        <v>1</v>
      </c>
      <c r="S66" s="3"/>
      <c r="T66" s="19" t="s">
        <v>594</v>
      </c>
      <c r="U66" s="49">
        <v>1</v>
      </c>
      <c r="V66" s="3" t="s">
        <v>664</v>
      </c>
      <c r="W66" s="3"/>
    </row>
    <row r="67" spans="1:23" ht="18" x14ac:dyDescent="0.3">
      <c r="A67" s="19" t="s">
        <v>23</v>
      </c>
      <c r="B67" s="21">
        <v>62</v>
      </c>
      <c r="C67" s="3" t="s">
        <v>388</v>
      </c>
      <c r="D67" s="26" t="s">
        <v>464</v>
      </c>
      <c r="E67" s="61" t="s">
        <v>466</v>
      </c>
      <c r="F67" s="3" t="s">
        <v>467</v>
      </c>
      <c r="G67" s="5">
        <v>105.306269</v>
      </c>
      <c r="H67" s="5">
        <v>10.404501</v>
      </c>
      <c r="I67" s="5">
        <v>105.30796100000001</v>
      </c>
      <c r="J67" s="5">
        <v>10.405996999999999</v>
      </c>
      <c r="K67" s="3">
        <v>370</v>
      </c>
      <c r="L67" s="3"/>
      <c r="M67" s="13"/>
      <c r="N67" s="3"/>
      <c r="O67" s="13"/>
      <c r="P67" s="3"/>
      <c r="Q67" s="3">
        <v>1</v>
      </c>
      <c r="R67" s="3"/>
      <c r="S67" s="3"/>
      <c r="T67" s="19" t="s">
        <v>594</v>
      </c>
      <c r="U67" s="49">
        <v>1</v>
      </c>
      <c r="V67" s="3" t="s">
        <v>664</v>
      </c>
      <c r="W67" s="3"/>
    </row>
    <row r="68" spans="1:23" ht="18" x14ac:dyDescent="0.3">
      <c r="A68" s="19" t="s">
        <v>23</v>
      </c>
      <c r="B68" s="21">
        <v>63</v>
      </c>
      <c r="C68" s="3" t="s">
        <v>388</v>
      </c>
      <c r="D68" s="26" t="s">
        <v>464</v>
      </c>
      <c r="E68" s="61" t="s">
        <v>467</v>
      </c>
      <c r="F68" s="3" t="s">
        <v>468</v>
      </c>
      <c r="G68" s="5">
        <v>105.30796100000001</v>
      </c>
      <c r="H68" s="5">
        <v>10.405996999999999</v>
      </c>
      <c r="I68" s="5">
        <v>105.31238</v>
      </c>
      <c r="J68" s="5">
        <v>10.406943999999999</v>
      </c>
      <c r="K68" s="3">
        <v>570</v>
      </c>
      <c r="L68" s="3"/>
      <c r="M68" s="13"/>
      <c r="N68" s="3"/>
      <c r="O68" s="13"/>
      <c r="P68" s="3"/>
      <c r="Q68" s="3">
        <v>1</v>
      </c>
      <c r="R68" s="3"/>
      <c r="S68" s="3"/>
      <c r="T68" s="19" t="s">
        <v>594</v>
      </c>
      <c r="U68" s="49">
        <v>1</v>
      </c>
      <c r="V68" s="3" t="s">
        <v>664</v>
      </c>
      <c r="W68" s="3"/>
    </row>
    <row r="69" spans="1:23" ht="18" x14ac:dyDescent="0.3">
      <c r="A69" s="19" t="s">
        <v>24</v>
      </c>
      <c r="B69" s="21">
        <v>64</v>
      </c>
      <c r="C69" s="3" t="s">
        <v>388</v>
      </c>
      <c r="D69" s="26" t="s">
        <v>464</v>
      </c>
      <c r="E69" s="61" t="s">
        <v>468</v>
      </c>
      <c r="F69" s="3" t="s">
        <v>469</v>
      </c>
      <c r="G69" s="5">
        <v>105.31238</v>
      </c>
      <c r="H69" s="5">
        <v>10.406943999999999</v>
      </c>
      <c r="I69" s="5">
        <v>105.313754</v>
      </c>
      <c r="J69" s="5">
        <v>10.407432999999999</v>
      </c>
      <c r="K69" s="3">
        <v>200</v>
      </c>
      <c r="L69" s="3"/>
      <c r="M69" s="13"/>
      <c r="N69" s="3"/>
      <c r="O69" s="13"/>
      <c r="P69" s="3"/>
      <c r="Q69" s="3">
        <v>1</v>
      </c>
      <c r="R69" s="3"/>
      <c r="S69" s="3"/>
      <c r="T69" s="19" t="s">
        <v>594</v>
      </c>
      <c r="U69" s="49">
        <v>1</v>
      </c>
      <c r="V69" s="3" t="s">
        <v>664</v>
      </c>
      <c r="W69" s="3"/>
    </row>
    <row r="70" spans="1:23" ht="18" x14ac:dyDescent="0.3">
      <c r="A70" s="19" t="s">
        <v>24</v>
      </c>
      <c r="B70" s="21">
        <v>65</v>
      </c>
      <c r="C70" s="3" t="s">
        <v>388</v>
      </c>
      <c r="D70" s="26" t="s">
        <v>464</v>
      </c>
      <c r="E70" s="61" t="s">
        <v>469</v>
      </c>
      <c r="F70" s="3" t="s">
        <v>470</v>
      </c>
      <c r="G70" s="5">
        <v>105.313754</v>
      </c>
      <c r="H70" s="5">
        <v>10.407432999999999</v>
      </c>
      <c r="I70" s="5">
        <v>105.315641</v>
      </c>
      <c r="J70" s="5">
        <v>10.407646</v>
      </c>
      <c r="K70" s="3">
        <v>250</v>
      </c>
      <c r="L70" s="3"/>
      <c r="M70" s="13"/>
      <c r="N70" s="3">
        <v>1</v>
      </c>
      <c r="O70" s="13"/>
      <c r="P70" s="3"/>
      <c r="Q70" s="3">
        <v>1</v>
      </c>
      <c r="R70" s="3"/>
      <c r="S70" s="3"/>
      <c r="T70" s="19" t="s">
        <v>594</v>
      </c>
      <c r="U70" s="49">
        <v>1</v>
      </c>
      <c r="V70" s="3" t="s">
        <v>664</v>
      </c>
      <c r="W70" s="3"/>
    </row>
    <row r="71" spans="1:23" ht="18" x14ac:dyDescent="0.3">
      <c r="A71" s="19" t="s">
        <v>24</v>
      </c>
      <c r="B71" s="21">
        <v>66</v>
      </c>
      <c r="C71" s="3" t="s">
        <v>388</v>
      </c>
      <c r="D71" s="26" t="s">
        <v>464</v>
      </c>
      <c r="E71" s="61" t="s">
        <v>470</v>
      </c>
      <c r="F71" s="3" t="s">
        <v>471</v>
      </c>
      <c r="G71" s="5">
        <v>105.315641</v>
      </c>
      <c r="H71" s="5">
        <v>10.407646</v>
      </c>
      <c r="I71" s="5">
        <v>105.317628</v>
      </c>
      <c r="J71" s="5">
        <v>10.407628000000001</v>
      </c>
      <c r="K71" s="3">
        <v>300</v>
      </c>
      <c r="L71" s="3"/>
      <c r="M71" s="13"/>
      <c r="N71" s="3"/>
      <c r="O71" s="13"/>
      <c r="P71" s="3"/>
      <c r="Q71" s="3">
        <v>1</v>
      </c>
      <c r="R71" s="3"/>
      <c r="S71" s="3"/>
      <c r="T71" s="19" t="s">
        <v>594</v>
      </c>
      <c r="U71" s="49">
        <v>1</v>
      </c>
      <c r="V71" s="3" t="s">
        <v>664</v>
      </c>
      <c r="W71" s="3"/>
    </row>
    <row r="72" spans="1:23" ht="18" x14ac:dyDescent="0.3">
      <c r="A72" s="19" t="s">
        <v>24</v>
      </c>
      <c r="B72" s="21">
        <v>67</v>
      </c>
      <c r="C72" s="3" t="s">
        <v>388</v>
      </c>
      <c r="D72" s="26" t="s">
        <v>464</v>
      </c>
      <c r="E72" s="61" t="s">
        <v>471</v>
      </c>
      <c r="F72" s="3" t="s">
        <v>472</v>
      </c>
      <c r="G72" s="5">
        <v>105.317628</v>
      </c>
      <c r="H72" s="5">
        <v>10.407628000000001</v>
      </c>
      <c r="I72" s="62">
        <v>105.320033</v>
      </c>
      <c r="J72" s="62">
        <v>10.408358</v>
      </c>
      <c r="K72" s="3">
        <v>300</v>
      </c>
      <c r="L72" s="3"/>
      <c r="M72" s="13"/>
      <c r="N72" s="3"/>
      <c r="O72" s="13"/>
      <c r="P72" s="3"/>
      <c r="Q72" s="3">
        <v>1</v>
      </c>
      <c r="R72" s="3"/>
      <c r="S72" s="3"/>
      <c r="T72" s="19" t="s">
        <v>594</v>
      </c>
      <c r="U72" s="49">
        <v>1</v>
      </c>
      <c r="V72" s="3" t="s">
        <v>664</v>
      </c>
      <c r="W72" s="10" t="s">
        <v>678</v>
      </c>
    </row>
    <row r="73" spans="1:23" ht="18" x14ac:dyDescent="0.3">
      <c r="A73" s="19" t="s">
        <v>24</v>
      </c>
      <c r="B73" s="21">
        <v>68</v>
      </c>
      <c r="C73" s="3" t="s">
        <v>388</v>
      </c>
      <c r="D73" s="26" t="s">
        <v>464</v>
      </c>
      <c r="E73" s="61" t="s">
        <v>472</v>
      </c>
      <c r="F73" s="3" t="s">
        <v>473</v>
      </c>
      <c r="G73" s="62">
        <v>105.320033</v>
      </c>
      <c r="H73" s="62">
        <v>10.408358</v>
      </c>
      <c r="I73" s="5">
        <v>105.321145</v>
      </c>
      <c r="J73" s="5">
        <v>10.409185000000001</v>
      </c>
      <c r="K73" s="3">
        <v>250</v>
      </c>
      <c r="L73" s="3"/>
      <c r="M73" s="13"/>
      <c r="N73" s="3"/>
      <c r="O73" s="13"/>
      <c r="P73" s="3"/>
      <c r="Q73" s="3">
        <v>1</v>
      </c>
      <c r="R73" s="3"/>
      <c r="S73" s="3"/>
      <c r="T73" s="19" t="s">
        <v>594</v>
      </c>
      <c r="U73" s="49">
        <v>1</v>
      </c>
      <c r="V73" s="3" t="s">
        <v>664</v>
      </c>
      <c r="W73" s="10"/>
    </row>
    <row r="74" spans="1:23" ht="18" x14ac:dyDescent="0.3">
      <c r="A74" s="19" t="s">
        <v>24</v>
      </c>
      <c r="B74" s="21">
        <v>69</v>
      </c>
      <c r="C74" s="3" t="s">
        <v>388</v>
      </c>
      <c r="D74" s="26" t="s">
        <v>464</v>
      </c>
      <c r="E74" s="61" t="s">
        <v>473</v>
      </c>
      <c r="F74" s="3" t="s">
        <v>474</v>
      </c>
      <c r="G74" s="5">
        <v>105.321145</v>
      </c>
      <c r="H74" s="5">
        <v>10.409185000000001</v>
      </c>
      <c r="I74" s="5">
        <v>105.322254</v>
      </c>
      <c r="J74" s="5">
        <v>10.410088</v>
      </c>
      <c r="K74" s="3">
        <v>200</v>
      </c>
      <c r="L74" s="3"/>
      <c r="M74" s="13"/>
      <c r="N74" s="3"/>
      <c r="O74" s="13"/>
      <c r="P74" s="3"/>
      <c r="Q74" s="3">
        <v>1</v>
      </c>
      <c r="R74" s="3"/>
      <c r="S74" s="3"/>
      <c r="T74" s="19" t="s">
        <v>594</v>
      </c>
      <c r="U74" s="49">
        <v>1</v>
      </c>
      <c r="V74" s="3" t="s">
        <v>664</v>
      </c>
      <c r="W74" s="10"/>
    </row>
    <row r="75" spans="1:23" ht="18" x14ac:dyDescent="0.3">
      <c r="A75" s="19" t="s">
        <v>24</v>
      </c>
      <c r="B75" s="21">
        <v>70</v>
      </c>
      <c r="C75" s="3" t="s">
        <v>388</v>
      </c>
      <c r="D75" s="26" t="s">
        <v>464</v>
      </c>
      <c r="E75" s="61" t="s">
        <v>474</v>
      </c>
      <c r="F75" s="3" t="s">
        <v>475</v>
      </c>
      <c r="G75" s="5">
        <v>105.322254</v>
      </c>
      <c r="H75" s="5">
        <v>10.410088</v>
      </c>
      <c r="I75" s="5">
        <v>105.322705</v>
      </c>
      <c r="J75" s="5">
        <v>10.410432999999999</v>
      </c>
      <c r="K75" s="3">
        <v>150</v>
      </c>
      <c r="L75" s="3"/>
      <c r="M75" s="13"/>
      <c r="N75" s="3">
        <v>1</v>
      </c>
      <c r="O75" s="13"/>
      <c r="P75" s="3"/>
      <c r="Q75" s="3">
        <v>1</v>
      </c>
      <c r="R75" s="3"/>
      <c r="S75" s="3"/>
      <c r="T75" s="19" t="s">
        <v>594</v>
      </c>
      <c r="U75" s="49">
        <v>1</v>
      </c>
      <c r="V75" s="3" t="s">
        <v>664</v>
      </c>
      <c r="W75" s="10"/>
    </row>
    <row r="76" spans="1:23" ht="18" x14ac:dyDescent="0.3">
      <c r="A76" s="19" t="s">
        <v>24</v>
      </c>
      <c r="B76" s="21">
        <v>71</v>
      </c>
      <c r="C76" s="3" t="s">
        <v>388</v>
      </c>
      <c r="D76" s="26" t="s">
        <v>464</v>
      </c>
      <c r="E76" s="61" t="s">
        <v>475</v>
      </c>
      <c r="F76" s="3" t="s">
        <v>476</v>
      </c>
      <c r="G76" s="5">
        <v>105.322705</v>
      </c>
      <c r="H76" s="5">
        <v>10.410432999999999</v>
      </c>
      <c r="I76" s="5">
        <v>105.32318100000001</v>
      </c>
      <c r="J76" s="5">
        <v>10.410852</v>
      </c>
      <c r="K76" s="3">
        <v>150</v>
      </c>
      <c r="L76" s="3"/>
      <c r="M76" s="13"/>
      <c r="N76" s="3"/>
      <c r="O76" s="13"/>
      <c r="P76" s="3"/>
      <c r="Q76" s="3">
        <v>1</v>
      </c>
      <c r="R76" s="3"/>
      <c r="S76" s="3"/>
      <c r="T76" s="19" t="s">
        <v>594</v>
      </c>
      <c r="U76" s="49">
        <v>1</v>
      </c>
      <c r="V76" s="3" t="s">
        <v>664</v>
      </c>
      <c r="W76" s="10"/>
    </row>
    <row r="77" spans="1:23" ht="18" x14ac:dyDescent="0.3">
      <c r="A77" s="19" t="s">
        <v>24</v>
      </c>
      <c r="B77" s="21">
        <v>72</v>
      </c>
      <c r="C77" s="3" t="s">
        <v>388</v>
      </c>
      <c r="D77" s="26" t="s">
        <v>464</v>
      </c>
      <c r="E77" s="61" t="s">
        <v>476</v>
      </c>
      <c r="F77" s="3" t="s">
        <v>477</v>
      </c>
      <c r="G77" s="5">
        <v>105.32318100000001</v>
      </c>
      <c r="H77" s="5">
        <v>10.410852</v>
      </c>
      <c r="I77" s="5">
        <v>105.323716</v>
      </c>
      <c r="J77" s="5">
        <v>10.411365999999999</v>
      </c>
      <c r="K77" s="3">
        <v>150</v>
      </c>
      <c r="L77" s="3"/>
      <c r="M77" s="13"/>
      <c r="N77" s="3"/>
      <c r="O77" s="13"/>
      <c r="P77" s="3"/>
      <c r="Q77" s="3">
        <v>1</v>
      </c>
      <c r="R77" s="3"/>
      <c r="S77" s="3"/>
      <c r="T77" s="19" t="s">
        <v>594</v>
      </c>
      <c r="U77" s="49">
        <v>1</v>
      </c>
      <c r="V77" s="3" t="s">
        <v>664</v>
      </c>
      <c r="W77" s="10"/>
    </row>
    <row r="78" spans="1:23" ht="18" x14ac:dyDescent="0.3">
      <c r="A78" s="19" t="s">
        <v>24</v>
      </c>
      <c r="B78" s="21">
        <v>73</v>
      </c>
      <c r="C78" s="3" t="s">
        <v>388</v>
      </c>
      <c r="D78" s="26" t="s">
        <v>464</v>
      </c>
      <c r="E78" s="61" t="s">
        <v>477</v>
      </c>
      <c r="F78" s="3" t="s">
        <v>478</v>
      </c>
      <c r="G78" s="5">
        <v>105.323716</v>
      </c>
      <c r="H78" s="5">
        <v>10.411365999999999</v>
      </c>
      <c r="I78" s="5">
        <v>105.32479600000001</v>
      </c>
      <c r="J78" s="5">
        <v>10.412962</v>
      </c>
      <c r="K78" s="3">
        <v>350</v>
      </c>
      <c r="L78" s="3"/>
      <c r="M78" s="13"/>
      <c r="N78" s="3"/>
      <c r="O78" s="13"/>
      <c r="P78" s="3"/>
      <c r="Q78" s="3">
        <v>1</v>
      </c>
      <c r="R78" s="3"/>
      <c r="S78" s="3"/>
      <c r="T78" s="19" t="s">
        <v>594</v>
      </c>
      <c r="U78" s="49">
        <v>1</v>
      </c>
      <c r="V78" s="3" t="s">
        <v>664</v>
      </c>
      <c r="W78" s="10"/>
    </row>
    <row r="79" spans="1:23" ht="31.2" x14ac:dyDescent="0.3">
      <c r="A79" s="19" t="s">
        <v>25</v>
      </c>
      <c r="B79" s="21">
        <v>74</v>
      </c>
      <c r="C79" s="3" t="s">
        <v>388</v>
      </c>
      <c r="D79" s="3" t="s">
        <v>479</v>
      </c>
      <c r="E79" s="61" t="s">
        <v>480</v>
      </c>
      <c r="F79" s="3" t="s">
        <v>481</v>
      </c>
      <c r="G79" s="5">
        <v>105.39097</v>
      </c>
      <c r="H79" s="5">
        <v>10.44121</v>
      </c>
      <c r="I79" s="5">
        <v>105.392076</v>
      </c>
      <c r="J79" s="5">
        <v>10.440547</v>
      </c>
      <c r="K79" s="3">
        <v>200</v>
      </c>
      <c r="L79" s="3"/>
      <c r="M79" s="13"/>
      <c r="N79" s="3">
        <v>1</v>
      </c>
      <c r="O79" s="13"/>
      <c r="P79" s="3"/>
      <c r="Q79" s="3">
        <v>1</v>
      </c>
      <c r="R79" s="3">
        <v>1</v>
      </c>
      <c r="S79" s="3"/>
      <c r="T79" s="47" t="s">
        <v>595</v>
      </c>
      <c r="U79" s="49">
        <v>1</v>
      </c>
      <c r="V79" s="10" t="s">
        <v>664</v>
      </c>
      <c r="W79" s="10"/>
    </row>
    <row r="80" spans="1:23" ht="31.2" x14ac:dyDescent="0.3">
      <c r="A80" s="19" t="s">
        <v>25</v>
      </c>
      <c r="B80" s="21">
        <v>75</v>
      </c>
      <c r="C80" s="3" t="s">
        <v>388</v>
      </c>
      <c r="D80" s="3" t="s">
        <v>479</v>
      </c>
      <c r="E80" s="61" t="s">
        <v>481</v>
      </c>
      <c r="F80" s="28" t="s">
        <v>482</v>
      </c>
      <c r="G80" s="5">
        <v>105.392076</v>
      </c>
      <c r="H80" s="5">
        <v>10.440547</v>
      </c>
      <c r="I80" s="5">
        <v>105.392707</v>
      </c>
      <c r="J80" s="5">
        <v>10.439893</v>
      </c>
      <c r="K80" s="3">
        <v>130</v>
      </c>
      <c r="L80" s="3"/>
      <c r="M80" s="13"/>
      <c r="N80" s="3"/>
      <c r="O80" s="13"/>
      <c r="P80" s="3"/>
      <c r="Q80" s="3">
        <v>1</v>
      </c>
      <c r="R80" s="27"/>
      <c r="S80" s="3"/>
      <c r="T80" s="47" t="s">
        <v>595</v>
      </c>
      <c r="U80" s="49">
        <v>1</v>
      </c>
      <c r="V80" s="10" t="s">
        <v>664</v>
      </c>
      <c r="W80" s="10"/>
    </row>
    <row r="81" spans="1:23" s="6" customFormat="1" ht="31.2" x14ac:dyDescent="0.3">
      <c r="A81" s="19" t="s">
        <v>26</v>
      </c>
      <c r="B81" s="21">
        <v>76</v>
      </c>
      <c r="C81" s="3" t="s">
        <v>388</v>
      </c>
      <c r="D81" s="3" t="s">
        <v>479</v>
      </c>
      <c r="E81" s="61" t="s">
        <v>482</v>
      </c>
      <c r="F81" s="28" t="s">
        <v>483</v>
      </c>
      <c r="G81" s="5">
        <v>105.392707</v>
      </c>
      <c r="H81" s="5">
        <v>10.439893</v>
      </c>
      <c r="I81" s="5">
        <v>105.39340300000001</v>
      </c>
      <c r="J81" s="5">
        <v>10.439106000000001</v>
      </c>
      <c r="K81" s="3">
        <v>140</v>
      </c>
      <c r="L81" s="3"/>
      <c r="M81" s="13"/>
      <c r="N81" s="3"/>
      <c r="O81" s="13"/>
      <c r="P81" s="3"/>
      <c r="Q81" s="3">
        <v>1</v>
      </c>
      <c r="R81" s="27"/>
      <c r="S81" s="3"/>
      <c r="T81" s="47" t="s">
        <v>595</v>
      </c>
      <c r="U81" s="49">
        <v>1</v>
      </c>
      <c r="V81" s="10" t="s">
        <v>664</v>
      </c>
      <c r="W81" s="10"/>
    </row>
    <row r="82" spans="1:23" s="6" customFormat="1" ht="31.2" x14ac:dyDescent="0.3">
      <c r="A82" s="19" t="s">
        <v>26</v>
      </c>
      <c r="B82" s="21">
        <v>77</v>
      </c>
      <c r="C82" s="3" t="s">
        <v>388</v>
      </c>
      <c r="D82" s="3" t="s">
        <v>479</v>
      </c>
      <c r="E82" s="61" t="s">
        <v>483</v>
      </c>
      <c r="F82" s="28" t="s">
        <v>484</v>
      </c>
      <c r="G82" s="5">
        <v>105.39340300000001</v>
      </c>
      <c r="H82" s="5">
        <v>10.439106000000001</v>
      </c>
      <c r="I82" s="5">
        <v>105.39415700000001</v>
      </c>
      <c r="J82" s="5">
        <v>10.438351000000001</v>
      </c>
      <c r="K82" s="3">
        <v>150</v>
      </c>
      <c r="L82" s="3"/>
      <c r="M82" s="13"/>
      <c r="N82" s="3"/>
      <c r="O82" s="13"/>
      <c r="P82" s="3"/>
      <c r="Q82" s="3">
        <v>1</v>
      </c>
      <c r="R82" s="27"/>
      <c r="S82" s="3"/>
      <c r="T82" s="47" t="s">
        <v>595</v>
      </c>
      <c r="U82" s="49">
        <v>1</v>
      </c>
      <c r="V82" s="10" t="s">
        <v>664</v>
      </c>
      <c r="W82" s="10"/>
    </row>
    <row r="83" spans="1:23" s="6" customFormat="1" ht="31.2" x14ac:dyDescent="0.3">
      <c r="A83" s="19" t="s">
        <v>26</v>
      </c>
      <c r="B83" s="21">
        <v>78</v>
      </c>
      <c r="C83" s="3" t="s">
        <v>388</v>
      </c>
      <c r="D83" s="3" t="s">
        <v>479</v>
      </c>
      <c r="E83" s="61" t="s">
        <v>484</v>
      </c>
      <c r="F83" s="28" t="s">
        <v>485</v>
      </c>
      <c r="G83" s="5">
        <v>105.39415700000001</v>
      </c>
      <c r="H83" s="5">
        <v>10.438351000000001</v>
      </c>
      <c r="I83" s="5">
        <v>105.395188</v>
      </c>
      <c r="J83" s="5">
        <v>10.437386</v>
      </c>
      <c r="K83" s="3">
        <v>250</v>
      </c>
      <c r="L83" s="3"/>
      <c r="M83" s="13"/>
      <c r="N83" s="3">
        <v>1</v>
      </c>
      <c r="O83" s="13"/>
      <c r="P83" s="3"/>
      <c r="Q83" s="3">
        <v>1</v>
      </c>
      <c r="R83" s="27"/>
      <c r="S83" s="3"/>
      <c r="T83" s="47" t="s">
        <v>595</v>
      </c>
      <c r="U83" s="49">
        <v>1</v>
      </c>
      <c r="V83" s="10" t="s">
        <v>664</v>
      </c>
      <c r="W83" s="10"/>
    </row>
    <row r="84" spans="1:23" s="6" customFormat="1" ht="31.2" x14ac:dyDescent="0.3">
      <c r="A84" s="19" t="s">
        <v>27</v>
      </c>
      <c r="B84" s="21">
        <v>79</v>
      </c>
      <c r="C84" s="3" t="s">
        <v>388</v>
      </c>
      <c r="D84" s="3" t="s">
        <v>479</v>
      </c>
      <c r="E84" s="61" t="s">
        <v>482</v>
      </c>
      <c r="F84" s="28" t="s">
        <v>486</v>
      </c>
      <c r="G84" s="5">
        <v>105.392076</v>
      </c>
      <c r="H84" s="5">
        <v>10.440547</v>
      </c>
      <c r="I84" s="5">
        <v>105.392393</v>
      </c>
      <c r="J84" s="5">
        <v>10.439677</v>
      </c>
      <c r="K84" s="3">
        <v>80</v>
      </c>
      <c r="L84" s="3"/>
      <c r="M84" s="15"/>
      <c r="N84" s="3"/>
      <c r="O84" s="13"/>
      <c r="P84" s="3"/>
      <c r="Q84" s="3">
        <v>1</v>
      </c>
      <c r="R84" s="27"/>
      <c r="S84" s="3"/>
      <c r="T84" s="47" t="s">
        <v>595</v>
      </c>
      <c r="U84" s="49">
        <v>1</v>
      </c>
      <c r="V84" s="10" t="s">
        <v>664</v>
      </c>
      <c r="W84" s="10" t="s">
        <v>679</v>
      </c>
    </row>
    <row r="85" spans="1:23" s="6" customFormat="1" ht="31.2" x14ac:dyDescent="0.3">
      <c r="A85" s="19" t="s">
        <v>27</v>
      </c>
      <c r="B85" s="21">
        <v>80</v>
      </c>
      <c r="C85" s="3" t="s">
        <v>388</v>
      </c>
      <c r="D85" s="3" t="s">
        <v>479</v>
      </c>
      <c r="E85" s="61" t="s">
        <v>486</v>
      </c>
      <c r="F85" s="28" t="s">
        <v>487</v>
      </c>
      <c r="G85" s="5">
        <v>105.392357</v>
      </c>
      <c r="H85" s="5">
        <v>10.439695</v>
      </c>
      <c r="I85" s="5">
        <v>105.392115</v>
      </c>
      <c r="J85" s="5">
        <v>10.439422</v>
      </c>
      <c r="K85" s="3">
        <v>100</v>
      </c>
      <c r="L85" s="3"/>
      <c r="M85" s="15"/>
      <c r="N85" s="3"/>
      <c r="O85" s="13"/>
      <c r="P85" s="3"/>
      <c r="Q85" s="3">
        <v>1</v>
      </c>
      <c r="R85" s="27"/>
      <c r="S85" s="3"/>
      <c r="T85" s="47" t="s">
        <v>595</v>
      </c>
      <c r="U85" s="49">
        <v>1</v>
      </c>
      <c r="V85" s="10" t="s">
        <v>664</v>
      </c>
      <c r="W85" s="10"/>
    </row>
    <row r="86" spans="1:23" s="6" customFormat="1" ht="31.2" x14ac:dyDescent="0.3">
      <c r="A86" s="19" t="s">
        <v>27</v>
      </c>
      <c r="B86" s="21">
        <v>81</v>
      </c>
      <c r="C86" s="3" t="s">
        <v>388</v>
      </c>
      <c r="D86" s="3" t="s">
        <v>479</v>
      </c>
      <c r="E86" s="65" t="s">
        <v>487</v>
      </c>
      <c r="F86" s="28" t="s">
        <v>488</v>
      </c>
      <c r="G86" s="62">
        <v>105.392115</v>
      </c>
      <c r="H86" s="62">
        <v>10.439422</v>
      </c>
      <c r="I86" s="5">
        <v>105.391678</v>
      </c>
      <c r="J86" s="5">
        <v>10.439003</v>
      </c>
      <c r="K86" s="3">
        <v>80</v>
      </c>
      <c r="L86" s="3"/>
      <c r="M86" s="15"/>
      <c r="N86" s="3"/>
      <c r="O86" s="13"/>
      <c r="P86" s="3"/>
      <c r="Q86" s="3">
        <v>1</v>
      </c>
      <c r="R86" s="27"/>
      <c r="S86" s="3"/>
      <c r="T86" s="47" t="s">
        <v>595</v>
      </c>
      <c r="U86" s="49">
        <v>1</v>
      </c>
      <c r="V86" s="10" t="s">
        <v>664</v>
      </c>
      <c r="W86" s="10"/>
    </row>
    <row r="87" spans="1:23" s="6" customFormat="1" ht="31.2" x14ac:dyDescent="0.3">
      <c r="A87" s="19" t="s">
        <v>27</v>
      </c>
      <c r="B87" s="21">
        <v>82</v>
      </c>
      <c r="C87" s="3" t="s">
        <v>388</v>
      </c>
      <c r="D87" s="3" t="s">
        <v>479</v>
      </c>
      <c r="E87" s="61" t="s">
        <v>488</v>
      </c>
      <c r="F87" s="28" t="s">
        <v>489</v>
      </c>
      <c r="G87" s="5">
        <v>105.391678</v>
      </c>
      <c r="H87" s="5">
        <v>10.439003</v>
      </c>
      <c r="I87" s="5">
        <v>105.39134199999999</v>
      </c>
      <c r="J87" s="5">
        <v>10.438715</v>
      </c>
      <c r="K87" s="3">
        <v>80</v>
      </c>
      <c r="L87" s="3"/>
      <c r="M87" s="15"/>
      <c r="N87" s="3">
        <v>1</v>
      </c>
      <c r="O87" s="13"/>
      <c r="P87" s="3"/>
      <c r="Q87" s="3">
        <v>1</v>
      </c>
      <c r="R87" s="27"/>
      <c r="S87" s="3"/>
      <c r="T87" s="47" t="s">
        <v>595</v>
      </c>
      <c r="U87" s="49">
        <v>1</v>
      </c>
      <c r="V87" s="10" t="s">
        <v>664</v>
      </c>
      <c r="W87" s="10"/>
    </row>
    <row r="88" spans="1:23" ht="31.2" x14ac:dyDescent="0.3">
      <c r="A88" s="19" t="s">
        <v>28</v>
      </c>
      <c r="B88" s="21">
        <v>83</v>
      </c>
      <c r="C88" s="3" t="s">
        <v>388</v>
      </c>
      <c r="D88" s="3" t="s">
        <v>479</v>
      </c>
      <c r="E88" s="61" t="s">
        <v>489</v>
      </c>
      <c r="F88" s="28" t="s">
        <v>490</v>
      </c>
      <c r="G88" s="5">
        <v>105.39134199999999</v>
      </c>
      <c r="H88" s="5">
        <v>10.438715</v>
      </c>
      <c r="I88" s="5">
        <v>105.390653</v>
      </c>
      <c r="J88" s="5">
        <v>10.439245</v>
      </c>
      <c r="K88" s="3">
        <v>110</v>
      </c>
      <c r="L88" s="3"/>
      <c r="M88" s="15"/>
      <c r="N88" s="3"/>
      <c r="O88" s="13"/>
      <c r="P88" s="3"/>
      <c r="Q88" s="3">
        <v>1</v>
      </c>
      <c r="R88" s="27"/>
      <c r="S88" s="3"/>
      <c r="T88" s="47" t="s">
        <v>595</v>
      </c>
      <c r="U88" s="49">
        <v>1</v>
      </c>
      <c r="V88" s="10" t="s">
        <v>664</v>
      </c>
      <c r="W88" s="10"/>
    </row>
    <row r="89" spans="1:23" ht="31.2" x14ac:dyDescent="0.3">
      <c r="A89" s="19" t="s">
        <v>28</v>
      </c>
      <c r="B89" s="21">
        <v>84</v>
      </c>
      <c r="C89" s="3" t="s">
        <v>388</v>
      </c>
      <c r="D89" s="3" t="s">
        <v>479</v>
      </c>
      <c r="E89" s="61" t="s">
        <v>490</v>
      </c>
      <c r="F89" s="28" t="s">
        <v>491</v>
      </c>
      <c r="G89" s="5">
        <v>105.390653</v>
      </c>
      <c r="H89" s="5">
        <v>10.439245</v>
      </c>
      <c r="I89" s="5">
        <v>105.39013199999999</v>
      </c>
      <c r="J89" s="5">
        <v>10.439608</v>
      </c>
      <c r="K89" s="3">
        <v>100</v>
      </c>
      <c r="L89" s="3"/>
      <c r="M89" s="15"/>
      <c r="N89" s="3"/>
      <c r="O89" s="13"/>
      <c r="P89" s="3"/>
      <c r="Q89" s="3">
        <v>1</v>
      </c>
      <c r="R89" s="27"/>
      <c r="S89" s="3"/>
      <c r="T89" s="47" t="s">
        <v>595</v>
      </c>
      <c r="U89" s="49">
        <v>1</v>
      </c>
      <c r="V89" s="10" t="s">
        <v>664</v>
      </c>
      <c r="W89" s="10"/>
    </row>
    <row r="90" spans="1:23" ht="31.2" x14ac:dyDescent="0.3">
      <c r="A90" s="19" t="s">
        <v>28</v>
      </c>
      <c r="B90" s="21">
        <v>85</v>
      </c>
      <c r="C90" s="3" t="s">
        <v>388</v>
      </c>
      <c r="D90" s="3" t="s">
        <v>479</v>
      </c>
      <c r="E90" s="61" t="s">
        <v>489</v>
      </c>
      <c r="F90" s="28" t="s">
        <v>492</v>
      </c>
      <c r="G90" s="5">
        <v>105.39134199999999</v>
      </c>
      <c r="H90" s="5">
        <v>10.438715</v>
      </c>
      <c r="I90" s="5">
        <v>105.390457</v>
      </c>
      <c r="J90" s="5">
        <v>10.438623</v>
      </c>
      <c r="K90" s="3">
        <v>160</v>
      </c>
      <c r="L90" s="3"/>
      <c r="M90" s="15"/>
      <c r="N90" s="3"/>
      <c r="O90" s="13"/>
      <c r="P90" s="3"/>
      <c r="Q90" s="3">
        <v>1</v>
      </c>
      <c r="R90" s="27"/>
      <c r="S90" s="3"/>
      <c r="T90" s="47" t="s">
        <v>595</v>
      </c>
      <c r="U90" s="49">
        <v>1</v>
      </c>
      <c r="V90" s="10" t="s">
        <v>664</v>
      </c>
      <c r="W90" s="10"/>
    </row>
    <row r="91" spans="1:23" ht="31.2" x14ac:dyDescent="0.3">
      <c r="A91" s="19" t="s">
        <v>28</v>
      </c>
      <c r="B91" s="21">
        <v>86</v>
      </c>
      <c r="C91" s="3" t="s">
        <v>388</v>
      </c>
      <c r="D91" s="3" t="s">
        <v>479</v>
      </c>
      <c r="E91" s="61" t="s">
        <v>489</v>
      </c>
      <c r="F91" s="28" t="s">
        <v>493</v>
      </c>
      <c r="G91" s="5">
        <v>105.39134199999999</v>
      </c>
      <c r="H91" s="5">
        <v>10.438715</v>
      </c>
      <c r="I91" s="5">
        <v>105.390692</v>
      </c>
      <c r="J91" s="5">
        <v>10.437996999999999</v>
      </c>
      <c r="K91" s="3">
        <v>120</v>
      </c>
      <c r="L91" s="3"/>
      <c r="M91" s="15"/>
      <c r="N91" s="3">
        <v>1</v>
      </c>
      <c r="O91" s="13"/>
      <c r="P91" s="3"/>
      <c r="Q91" s="3">
        <v>1</v>
      </c>
      <c r="R91" s="27"/>
      <c r="S91" s="3"/>
      <c r="T91" s="47" t="s">
        <v>595</v>
      </c>
      <c r="U91" s="49">
        <v>1</v>
      </c>
      <c r="V91" s="10" t="s">
        <v>664</v>
      </c>
      <c r="W91" s="10"/>
    </row>
    <row r="92" spans="1:23" ht="31.2" x14ac:dyDescent="0.3">
      <c r="A92" s="19" t="s">
        <v>28</v>
      </c>
      <c r="B92" s="21">
        <v>87</v>
      </c>
      <c r="C92" s="3" t="s">
        <v>388</v>
      </c>
      <c r="D92" s="3" t="s">
        <v>479</v>
      </c>
      <c r="E92" s="61" t="s">
        <v>493</v>
      </c>
      <c r="F92" s="28" t="s">
        <v>494</v>
      </c>
      <c r="G92" s="5">
        <v>105.390692</v>
      </c>
      <c r="H92" s="5">
        <v>10.437996999999999</v>
      </c>
      <c r="I92" s="5">
        <v>105.390007</v>
      </c>
      <c r="J92" s="5">
        <v>10.438656999999999</v>
      </c>
      <c r="K92" s="3">
        <v>150</v>
      </c>
      <c r="L92" s="3"/>
      <c r="M92" s="15"/>
      <c r="N92" s="3"/>
      <c r="O92" s="13"/>
      <c r="P92" s="3"/>
      <c r="Q92" s="3">
        <v>1</v>
      </c>
      <c r="R92" s="27"/>
      <c r="S92" s="3"/>
      <c r="T92" s="47" t="s">
        <v>595</v>
      </c>
      <c r="U92" s="49">
        <v>1</v>
      </c>
      <c r="V92" s="10" t="s">
        <v>664</v>
      </c>
      <c r="W92" s="10"/>
    </row>
  </sheetData>
  <autoFilter ref="A5:U92" xr:uid="{B0D0888C-0053-48C2-8E8F-AFABABC7EBA9}"/>
  <mergeCells count="16">
    <mergeCell ref="B3:H3"/>
    <mergeCell ref="I3:J3"/>
    <mergeCell ref="B1:U1"/>
    <mergeCell ref="B2:H2"/>
    <mergeCell ref="I2:J2"/>
    <mergeCell ref="V4:W4"/>
    <mergeCell ref="S4:S5"/>
    <mergeCell ref="T4:T5"/>
    <mergeCell ref="U4:U5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6:U395" xr:uid="{6527B0A8-58D6-49A6-A06F-28B2C48D7DAC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FF77-8489-4F8D-9FFB-EA51FFC787CF}">
  <sheetPr>
    <tabColor rgb="FF00B0F0"/>
  </sheetPr>
  <dimension ref="A1:W92"/>
  <sheetViews>
    <sheetView topLeftCell="E6" zoomScale="77" zoomScaleNormal="77" workbookViewId="0">
      <selection activeCell="N25" sqref="N25"/>
    </sheetView>
  </sheetViews>
  <sheetFormatPr defaultRowHeight="14.4" x14ac:dyDescent="0.3"/>
  <cols>
    <col min="1" max="1" width="68.33203125" hidden="1" customWidth="1"/>
    <col min="2" max="2" width="5.88671875" bestFit="1" customWidth="1"/>
    <col min="3" max="3" width="10.44140625" customWidth="1"/>
    <col min="4" max="4" width="15.44140625" bestFit="1" customWidth="1"/>
    <col min="5" max="5" width="45.88671875" customWidth="1"/>
    <col min="6" max="6" width="41.33203125" customWidth="1"/>
    <col min="7" max="10" width="14.6640625" style="7" bestFit="1" customWidth="1"/>
    <col min="11" max="11" width="18.44140625" customWidth="1"/>
    <col min="12" max="13" width="12.77734375" customWidth="1"/>
    <col min="14" max="14" width="7.88671875" bestFit="1" customWidth="1"/>
    <col min="15" max="15" width="7.88671875" customWidth="1"/>
    <col min="16" max="16" width="8.44140625" bestFit="1" customWidth="1"/>
    <col min="17" max="17" width="9.6640625" bestFit="1" customWidth="1"/>
    <col min="18" max="18" width="6.33203125" bestFit="1" customWidth="1"/>
    <col min="19" max="20" width="32.33203125" customWidth="1"/>
    <col min="21" max="21" width="16.77734375" customWidth="1"/>
    <col min="23" max="23" width="29.21875" bestFit="1" customWidth="1"/>
  </cols>
  <sheetData>
    <row r="1" spans="1:23" ht="46.2" customHeight="1" x14ac:dyDescent="0.3">
      <c r="A1" s="19"/>
      <c r="B1" s="101" t="s">
        <v>68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3" ht="16.8" x14ac:dyDescent="0.3">
      <c r="A2" s="19"/>
      <c r="B2" s="102"/>
      <c r="C2" s="102"/>
      <c r="D2" s="102"/>
      <c r="E2" s="102"/>
      <c r="F2" s="102"/>
      <c r="G2" s="102"/>
      <c r="H2" s="102"/>
      <c r="I2" s="103"/>
      <c r="J2" s="103"/>
      <c r="K2" s="29"/>
      <c r="L2" s="29"/>
      <c r="M2" s="29"/>
      <c r="N2" s="29"/>
      <c r="O2" s="29"/>
      <c r="P2" s="29"/>
      <c r="Q2" s="29"/>
      <c r="R2" s="29"/>
      <c r="S2" s="22"/>
      <c r="T2" s="22"/>
    </row>
    <row r="3" spans="1:23" ht="16.8" x14ac:dyDescent="0.3">
      <c r="A3" s="19"/>
      <c r="B3" s="99" t="s">
        <v>74</v>
      </c>
      <c r="C3" s="99"/>
      <c r="D3" s="99"/>
      <c r="E3" s="99"/>
      <c r="F3" s="99"/>
      <c r="G3" s="99"/>
      <c r="H3" s="99"/>
      <c r="I3" s="100" t="s">
        <v>195</v>
      </c>
      <c r="J3" s="100"/>
      <c r="K3" s="24">
        <f t="shared" ref="K3:R3" si="0">SUMIF($C$6:$C$4265,"An Phú",K6:K4265)</f>
        <v>17000</v>
      </c>
      <c r="L3" s="24">
        <f t="shared" si="0"/>
        <v>0</v>
      </c>
      <c r="M3" s="24">
        <f t="shared" si="0"/>
        <v>0</v>
      </c>
      <c r="N3" s="24">
        <f t="shared" si="0"/>
        <v>23</v>
      </c>
      <c r="O3" s="24">
        <f t="shared" si="0"/>
        <v>0</v>
      </c>
      <c r="P3" s="24">
        <f t="shared" si="0"/>
        <v>0</v>
      </c>
      <c r="Q3" s="24">
        <f t="shared" si="0"/>
        <v>86</v>
      </c>
      <c r="R3" s="24">
        <f t="shared" si="0"/>
        <v>2</v>
      </c>
      <c r="S3" s="22"/>
      <c r="T3" s="22"/>
    </row>
    <row r="4" spans="1:23" ht="42.6" customHeight="1" x14ac:dyDescent="0.3">
      <c r="A4" s="18" t="s">
        <v>6</v>
      </c>
      <c r="B4" s="94" t="s">
        <v>3</v>
      </c>
      <c r="C4" s="94" t="s">
        <v>7</v>
      </c>
      <c r="D4" s="94" t="s">
        <v>8</v>
      </c>
      <c r="E4" s="94" t="s">
        <v>9</v>
      </c>
      <c r="F4" s="94" t="s">
        <v>10</v>
      </c>
      <c r="G4" s="94" t="s">
        <v>65</v>
      </c>
      <c r="H4" s="94"/>
      <c r="I4" s="94" t="s">
        <v>66</v>
      </c>
      <c r="J4" s="94"/>
      <c r="K4" s="23" t="s">
        <v>69</v>
      </c>
      <c r="L4" s="23" t="s">
        <v>70</v>
      </c>
      <c r="M4" s="23" t="s">
        <v>71</v>
      </c>
      <c r="N4" s="23" t="s">
        <v>13</v>
      </c>
      <c r="O4" s="23" t="s">
        <v>72</v>
      </c>
      <c r="P4" s="23" t="s">
        <v>73</v>
      </c>
      <c r="Q4" s="23" t="s">
        <v>14</v>
      </c>
      <c r="R4" s="23" t="s">
        <v>15</v>
      </c>
      <c r="S4" s="94" t="s">
        <v>0</v>
      </c>
      <c r="T4" s="96" t="s">
        <v>67</v>
      </c>
      <c r="U4" s="98" t="s">
        <v>606</v>
      </c>
      <c r="V4" s="93" t="s">
        <v>661</v>
      </c>
      <c r="W4" s="93"/>
    </row>
    <row r="5" spans="1:23" ht="16.8" x14ac:dyDescent="0.3">
      <c r="A5" s="18"/>
      <c r="B5" s="95"/>
      <c r="C5" s="95"/>
      <c r="D5" s="95"/>
      <c r="E5" s="95"/>
      <c r="F5" s="95"/>
      <c r="G5" s="9" t="s">
        <v>11</v>
      </c>
      <c r="H5" s="9" t="s">
        <v>12</v>
      </c>
      <c r="I5" s="9" t="s">
        <v>11</v>
      </c>
      <c r="J5" s="9" t="s">
        <v>12</v>
      </c>
      <c r="K5" s="4">
        <f t="shared" ref="K5:R5" si="1">SUBTOTAL(9,K6:K3841)</f>
        <v>17000</v>
      </c>
      <c r="L5" s="4">
        <f t="shared" si="1"/>
        <v>0</v>
      </c>
      <c r="M5" s="4">
        <f t="shared" si="1"/>
        <v>0</v>
      </c>
      <c r="N5" s="4">
        <f t="shared" si="1"/>
        <v>23</v>
      </c>
      <c r="O5" s="4">
        <f t="shared" si="1"/>
        <v>0</v>
      </c>
      <c r="P5" s="4">
        <f t="shared" si="1"/>
        <v>0</v>
      </c>
      <c r="Q5" s="4">
        <f t="shared" si="1"/>
        <v>86</v>
      </c>
      <c r="R5" s="4">
        <f t="shared" si="1"/>
        <v>2</v>
      </c>
      <c r="S5" s="95"/>
      <c r="T5" s="97"/>
      <c r="U5" s="98"/>
      <c r="V5" s="59" t="s">
        <v>662</v>
      </c>
      <c r="W5" s="59" t="s">
        <v>663</v>
      </c>
    </row>
    <row r="6" spans="1:23" ht="18" x14ac:dyDescent="0.3">
      <c r="A6" s="19" t="s">
        <v>43</v>
      </c>
      <c r="B6" s="21">
        <v>1</v>
      </c>
      <c r="C6" s="3" t="s">
        <v>132</v>
      </c>
      <c r="D6" s="3" t="s">
        <v>5</v>
      </c>
      <c r="E6" s="3" t="s">
        <v>133</v>
      </c>
      <c r="F6" s="28" t="s">
        <v>134</v>
      </c>
      <c r="G6" s="5">
        <v>105.057515</v>
      </c>
      <c r="H6" s="5">
        <v>10.914693</v>
      </c>
      <c r="I6" s="5">
        <v>105.057461</v>
      </c>
      <c r="J6" s="5" t="s">
        <v>135</v>
      </c>
      <c r="K6" s="3">
        <v>100</v>
      </c>
      <c r="L6" s="3"/>
      <c r="M6" s="15"/>
      <c r="N6" s="3"/>
      <c r="O6" s="13"/>
      <c r="P6" s="3"/>
      <c r="Q6" s="3"/>
      <c r="R6" s="27">
        <v>1</v>
      </c>
      <c r="S6" s="3"/>
      <c r="T6" s="47" t="s">
        <v>61</v>
      </c>
      <c r="U6" s="48">
        <v>1</v>
      </c>
      <c r="V6" s="10" t="s">
        <v>664</v>
      </c>
      <c r="W6" s="10" t="s">
        <v>719</v>
      </c>
    </row>
    <row r="7" spans="1:23" ht="18" x14ac:dyDescent="0.3">
      <c r="A7" s="19" t="s">
        <v>43</v>
      </c>
      <c r="B7" s="21">
        <v>2</v>
      </c>
      <c r="C7" s="3" t="s">
        <v>132</v>
      </c>
      <c r="D7" s="3" t="s">
        <v>5</v>
      </c>
      <c r="E7" s="3" t="s">
        <v>134</v>
      </c>
      <c r="F7" s="28" t="s">
        <v>136</v>
      </c>
      <c r="G7" s="5">
        <v>105.43069</v>
      </c>
      <c r="H7" s="5">
        <v>10.38002</v>
      </c>
      <c r="I7" s="5">
        <v>105.05819700000001</v>
      </c>
      <c r="J7" s="5">
        <v>10.915259000000001</v>
      </c>
      <c r="K7" s="3">
        <v>175</v>
      </c>
      <c r="L7" s="3"/>
      <c r="M7" s="15"/>
      <c r="N7" s="3"/>
      <c r="O7" s="13"/>
      <c r="P7" s="3"/>
      <c r="Q7" s="3">
        <v>1</v>
      </c>
      <c r="R7" s="27"/>
      <c r="S7" s="3"/>
      <c r="T7" s="47" t="s">
        <v>61</v>
      </c>
      <c r="U7" s="48">
        <v>1</v>
      </c>
      <c r="V7" s="10" t="s">
        <v>664</v>
      </c>
      <c r="W7" s="10" t="s">
        <v>719</v>
      </c>
    </row>
    <row r="8" spans="1:23" ht="18" x14ac:dyDescent="0.3">
      <c r="A8" s="19" t="s">
        <v>43</v>
      </c>
      <c r="B8" s="21">
        <v>3</v>
      </c>
      <c r="C8" s="3" t="s">
        <v>132</v>
      </c>
      <c r="D8" s="3" t="s">
        <v>5</v>
      </c>
      <c r="E8" s="3" t="s">
        <v>136</v>
      </c>
      <c r="F8" s="28" t="s">
        <v>137</v>
      </c>
      <c r="G8" s="5">
        <v>105.05821</v>
      </c>
      <c r="H8" s="5">
        <v>10.915285000000001</v>
      </c>
      <c r="I8" s="5">
        <v>105.05821</v>
      </c>
      <c r="J8" s="5">
        <v>10.915285000000001</v>
      </c>
      <c r="K8" s="3">
        <v>140</v>
      </c>
      <c r="L8" s="3"/>
      <c r="M8" s="15"/>
      <c r="N8" s="3"/>
      <c r="O8" s="13"/>
      <c r="P8" s="3"/>
      <c r="Q8" s="3">
        <v>1</v>
      </c>
      <c r="R8" s="27"/>
      <c r="S8" s="3"/>
      <c r="T8" s="47" t="s">
        <v>61</v>
      </c>
      <c r="U8" s="48">
        <v>1</v>
      </c>
      <c r="V8" s="10" t="s">
        <v>664</v>
      </c>
      <c r="W8" s="10" t="s">
        <v>719</v>
      </c>
    </row>
    <row r="9" spans="1:23" ht="18" x14ac:dyDescent="0.3">
      <c r="A9" s="19" t="s">
        <v>44</v>
      </c>
      <c r="B9" s="21">
        <v>4</v>
      </c>
      <c r="C9" s="3" t="s">
        <v>132</v>
      </c>
      <c r="D9" s="3" t="s">
        <v>5</v>
      </c>
      <c r="E9" s="3" t="s">
        <v>137</v>
      </c>
      <c r="F9" s="28" t="s">
        <v>138</v>
      </c>
      <c r="G9" s="5">
        <v>105.05914199999999</v>
      </c>
      <c r="H9" s="5">
        <v>10.915403</v>
      </c>
      <c r="I9" s="5">
        <v>105.05914199999999</v>
      </c>
      <c r="J9" s="5">
        <v>10.915403</v>
      </c>
      <c r="K9" s="3">
        <v>200</v>
      </c>
      <c r="L9" s="3"/>
      <c r="M9" s="15"/>
      <c r="N9" s="3">
        <v>1</v>
      </c>
      <c r="O9" s="13"/>
      <c r="P9" s="3"/>
      <c r="Q9" s="3">
        <v>1</v>
      </c>
      <c r="R9" s="27"/>
      <c r="S9" s="3"/>
      <c r="T9" s="47" t="s">
        <v>61</v>
      </c>
      <c r="U9" s="48">
        <v>1</v>
      </c>
      <c r="V9" s="10" t="s">
        <v>664</v>
      </c>
      <c r="W9" s="10" t="s">
        <v>719</v>
      </c>
    </row>
    <row r="10" spans="1:23" ht="18" x14ac:dyDescent="0.3">
      <c r="A10" s="19" t="s">
        <v>44</v>
      </c>
      <c r="B10" s="21">
        <v>5</v>
      </c>
      <c r="C10" s="3" t="s">
        <v>132</v>
      </c>
      <c r="D10" s="3" t="s">
        <v>5</v>
      </c>
      <c r="E10" s="3" t="s">
        <v>138</v>
      </c>
      <c r="F10" s="28" t="s">
        <v>139</v>
      </c>
      <c r="G10" s="5">
        <v>105.05977</v>
      </c>
      <c r="H10" s="5">
        <v>10.915164600000001</v>
      </c>
      <c r="I10" s="5">
        <v>105.05977</v>
      </c>
      <c r="J10" s="5">
        <v>10.915164600000001</v>
      </c>
      <c r="K10" s="3">
        <v>200</v>
      </c>
      <c r="L10" s="3"/>
      <c r="M10" s="15"/>
      <c r="N10" s="3"/>
      <c r="O10" s="13"/>
      <c r="P10" s="3"/>
      <c r="Q10" s="3">
        <v>1</v>
      </c>
      <c r="R10" s="27"/>
      <c r="S10" s="3"/>
      <c r="T10" s="47" t="s">
        <v>61</v>
      </c>
      <c r="U10" s="48">
        <v>1</v>
      </c>
      <c r="V10" s="10" t="s">
        <v>664</v>
      </c>
      <c r="W10" s="10" t="s">
        <v>719</v>
      </c>
    </row>
    <row r="11" spans="1:23" ht="18" x14ac:dyDescent="0.3">
      <c r="A11" s="19" t="s">
        <v>44</v>
      </c>
      <c r="B11" s="21">
        <v>6</v>
      </c>
      <c r="C11" s="3" t="s">
        <v>132</v>
      </c>
      <c r="D11" s="3" t="s">
        <v>5</v>
      </c>
      <c r="E11" s="3" t="s">
        <v>139</v>
      </c>
      <c r="F11" s="28" t="s">
        <v>140</v>
      </c>
      <c r="G11" s="5">
        <v>105.061227</v>
      </c>
      <c r="H11" s="5">
        <v>10.915521999999999</v>
      </c>
      <c r="I11" s="5">
        <v>105.061227</v>
      </c>
      <c r="J11" s="5">
        <v>10.915521999999999</v>
      </c>
      <c r="K11" s="3">
        <v>285</v>
      </c>
      <c r="L11" s="3"/>
      <c r="M11" s="15"/>
      <c r="N11" s="3"/>
      <c r="O11" s="13"/>
      <c r="P11" s="3"/>
      <c r="Q11" s="3">
        <v>1</v>
      </c>
      <c r="R11" s="27"/>
      <c r="S11" s="3"/>
      <c r="T11" s="47" t="s">
        <v>61</v>
      </c>
      <c r="U11" s="48">
        <v>1</v>
      </c>
      <c r="V11" s="10" t="s">
        <v>664</v>
      </c>
      <c r="W11" s="10" t="s">
        <v>719</v>
      </c>
    </row>
    <row r="12" spans="1:23" ht="18" x14ac:dyDescent="0.3">
      <c r="A12" s="19" t="s">
        <v>44</v>
      </c>
      <c r="B12" s="21">
        <v>7</v>
      </c>
      <c r="C12" s="3" t="s">
        <v>132</v>
      </c>
      <c r="D12" s="3" t="s">
        <v>5</v>
      </c>
      <c r="E12" s="3" t="s">
        <v>140</v>
      </c>
      <c r="F12" s="28" t="s">
        <v>141</v>
      </c>
      <c r="G12" s="5">
        <v>105.063157</v>
      </c>
      <c r="H12" s="5">
        <v>10.915858</v>
      </c>
      <c r="I12" s="5">
        <v>105.063157</v>
      </c>
      <c r="J12" s="5">
        <v>10.915858</v>
      </c>
      <c r="K12" s="3">
        <v>180</v>
      </c>
      <c r="L12" s="3"/>
      <c r="M12" s="15"/>
      <c r="N12" s="3"/>
      <c r="O12" s="13"/>
      <c r="P12" s="3"/>
      <c r="Q12" s="3">
        <v>1</v>
      </c>
      <c r="R12" s="27"/>
      <c r="S12" s="3"/>
      <c r="T12" s="47" t="s">
        <v>61</v>
      </c>
      <c r="U12" s="48">
        <v>1</v>
      </c>
      <c r="V12" s="10" t="s">
        <v>664</v>
      </c>
      <c r="W12" s="10" t="s">
        <v>719</v>
      </c>
    </row>
    <row r="13" spans="1:23" ht="18" x14ac:dyDescent="0.3">
      <c r="A13" s="19" t="s">
        <v>44</v>
      </c>
      <c r="B13" s="21">
        <v>8</v>
      </c>
      <c r="C13" s="3" t="s">
        <v>132</v>
      </c>
      <c r="D13" s="3" t="s">
        <v>5</v>
      </c>
      <c r="E13" s="3" t="s">
        <v>141</v>
      </c>
      <c r="F13" s="28" t="s">
        <v>142</v>
      </c>
      <c r="G13" s="5">
        <v>105.064026</v>
      </c>
      <c r="H13" s="5">
        <v>10.915626</v>
      </c>
      <c r="I13" s="5">
        <v>105.064026</v>
      </c>
      <c r="J13" s="5">
        <v>10.915626</v>
      </c>
      <c r="K13" s="3">
        <v>220</v>
      </c>
      <c r="L13" s="3"/>
      <c r="M13" s="15"/>
      <c r="N13" s="3"/>
      <c r="O13" s="13"/>
      <c r="P13" s="3"/>
      <c r="Q13" s="3">
        <v>1</v>
      </c>
      <c r="R13" s="27"/>
      <c r="S13" s="3"/>
      <c r="T13" s="47" t="s">
        <v>61</v>
      </c>
      <c r="U13" s="48">
        <v>1</v>
      </c>
      <c r="V13" s="10" t="s">
        <v>664</v>
      </c>
      <c r="W13" s="10" t="s">
        <v>719</v>
      </c>
    </row>
    <row r="14" spans="1:23" ht="18" x14ac:dyDescent="0.3">
      <c r="A14" s="20" t="s">
        <v>45</v>
      </c>
      <c r="B14" s="21">
        <v>9</v>
      </c>
      <c r="C14" s="3" t="s">
        <v>132</v>
      </c>
      <c r="D14" s="3" t="s">
        <v>5</v>
      </c>
      <c r="E14" s="3" t="s">
        <v>142</v>
      </c>
      <c r="F14" s="28" t="s">
        <v>143</v>
      </c>
      <c r="G14" s="5">
        <v>105.065437</v>
      </c>
      <c r="H14" s="5">
        <v>10.915626</v>
      </c>
      <c r="I14" s="5">
        <v>105.065437</v>
      </c>
      <c r="J14" s="5">
        <v>10.915626</v>
      </c>
      <c r="K14" s="3">
        <v>120</v>
      </c>
      <c r="L14" s="3"/>
      <c r="M14" s="15"/>
      <c r="N14" s="3">
        <v>1</v>
      </c>
      <c r="O14" s="13"/>
      <c r="P14" s="3"/>
      <c r="Q14" s="3">
        <v>1</v>
      </c>
      <c r="R14" s="27"/>
      <c r="S14" s="3"/>
      <c r="T14" s="47" t="s">
        <v>61</v>
      </c>
      <c r="U14" s="48">
        <v>1</v>
      </c>
      <c r="V14" s="10" t="s">
        <v>664</v>
      </c>
      <c r="W14" s="10" t="s">
        <v>719</v>
      </c>
    </row>
    <row r="15" spans="1:23" ht="18" x14ac:dyDescent="0.3">
      <c r="A15" s="19" t="s">
        <v>46</v>
      </c>
      <c r="B15" s="21">
        <v>10</v>
      </c>
      <c r="C15" s="3" t="s">
        <v>132</v>
      </c>
      <c r="D15" s="3" t="s">
        <v>5</v>
      </c>
      <c r="E15" s="3" t="s">
        <v>143</v>
      </c>
      <c r="F15" s="28" t="s">
        <v>144</v>
      </c>
      <c r="G15" s="5">
        <v>105.065437</v>
      </c>
      <c r="H15" s="5">
        <v>10.915626</v>
      </c>
      <c r="I15" s="5">
        <v>105.065437</v>
      </c>
      <c r="J15" s="5">
        <v>10.915626</v>
      </c>
      <c r="K15" s="3">
        <v>240</v>
      </c>
      <c r="L15" s="3"/>
      <c r="M15" s="15"/>
      <c r="N15" s="3"/>
      <c r="O15" s="13"/>
      <c r="P15" s="3"/>
      <c r="Q15" s="3">
        <v>1</v>
      </c>
      <c r="R15" s="27"/>
      <c r="S15" s="3"/>
      <c r="T15" s="47" t="s">
        <v>61</v>
      </c>
      <c r="U15" s="48">
        <v>1</v>
      </c>
      <c r="V15" s="10" t="s">
        <v>664</v>
      </c>
      <c r="W15" s="10" t="s">
        <v>719</v>
      </c>
    </row>
    <row r="16" spans="1:23" ht="18" x14ac:dyDescent="0.3">
      <c r="A16" s="19" t="s">
        <v>47</v>
      </c>
      <c r="B16" s="21">
        <v>11</v>
      </c>
      <c r="C16" s="3" t="s">
        <v>132</v>
      </c>
      <c r="D16" s="3" t="s">
        <v>5</v>
      </c>
      <c r="E16" s="3" t="s">
        <v>144</v>
      </c>
      <c r="F16" s="28" t="s">
        <v>145</v>
      </c>
      <c r="G16" s="5">
        <v>105.069503</v>
      </c>
      <c r="H16" s="5">
        <v>10.915386</v>
      </c>
      <c r="I16" s="5">
        <v>105.069503</v>
      </c>
      <c r="J16" s="5">
        <v>10.915386</v>
      </c>
      <c r="K16" s="3">
        <v>240</v>
      </c>
      <c r="L16" s="3"/>
      <c r="M16" s="15"/>
      <c r="N16" s="3"/>
      <c r="O16" s="13"/>
      <c r="P16" s="3"/>
      <c r="Q16" s="3">
        <v>1</v>
      </c>
      <c r="R16" s="27"/>
      <c r="S16" s="3"/>
      <c r="T16" s="47" t="s">
        <v>61</v>
      </c>
      <c r="U16" s="48">
        <v>1</v>
      </c>
      <c r="V16" s="10" t="s">
        <v>664</v>
      </c>
      <c r="W16" s="10" t="s">
        <v>719</v>
      </c>
    </row>
    <row r="17" spans="1:23" ht="18" x14ac:dyDescent="0.3">
      <c r="A17" s="19" t="s">
        <v>47</v>
      </c>
      <c r="B17" s="21">
        <v>12</v>
      </c>
      <c r="C17" s="3" t="s">
        <v>132</v>
      </c>
      <c r="D17" s="3" t="s">
        <v>5</v>
      </c>
      <c r="E17" s="3" t="s">
        <v>145</v>
      </c>
      <c r="F17" s="28" t="s">
        <v>146</v>
      </c>
      <c r="G17" s="5">
        <v>105.065437</v>
      </c>
      <c r="H17" s="5">
        <v>10.915626</v>
      </c>
      <c r="I17" s="5">
        <v>105.07093500000001</v>
      </c>
      <c r="J17" s="5">
        <v>10.915921000000001</v>
      </c>
      <c r="K17" s="3">
        <v>300</v>
      </c>
      <c r="L17" s="3"/>
      <c r="M17" s="15"/>
      <c r="N17" s="3"/>
      <c r="O17" s="13"/>
      <c r="P17" s="3"/>
      <c r="Q17" s="3">
        <v>1</v>
      </c>
      <c r="R17" s="27"/>
      <c r="S17" s="3"/>
      <c r="T17" s="47" t="s">
        <v>61</v>
      </c>
      <c r="U17" s="48">
        <v>1</v>
      </c>
      <c r="V17" s="10" t="s">
        <v>664</v>
      </c>
      <c r="W17" s="10" t="s">
        <v>719</v>
      </c>
    </row>
    <row r="18" spans="1:23" ht="18" x14ac:dyDescent="0.3">
      <c r="A18" s="19" t="s">
        <v>47</v>
      </c>
      <c r="B18" s="21">
        <v>13</v>
      </c>
      <c r="C18" s="3" t="s">
        <v>132</v>
      </c>
      <c r="D18" s="3" t="s">
        <v>5</v>
      </c>
      <c r="E18" s="3" t="s">
        <v>146</v>
      </c>
      <c r="F18" s="28" t="s">
        <v>147</v>
      </c>
      <c r="G18" s="5">
        <v>105.07093500000001</v>
      </c>
      <c r="H18" s="5">
        <v>10.915921000000001</v>
      </c>
      <c r="I18" s="5">
        <v>105.065437</v>
      </c>
      <c r="J18" s="5">
        <v>10.915626</v>
      </c>
      <c r="K18" s="3">
        <v>320</v>
      </c>
      <c r="L18" s="3"/>
      <c r="M18" s="15"/>
      <c r="N18" s="3"/>
      <c r="O18" s="13"/>
      <c r="P18" s="3"/>
      <c r="Q18" s="3">
        <v>1</v>
      </c>
      <c r="R18" s="27"/>
      <c r="S18" s="3"/>
      <c r="T18" s="47" t="s">
        <v>61</v>
      </c>
      <c r="U18" s="48">
        <v>1</v>
      </c>
      <c r="V18" s="10" t="s">
        <v>664</v>
      </c>
      <c r="W18" s="10" t="s">
        <v>719</v>
      </c>
    </row>
    <row r="19" spans="1:23" ht="18" x14ac:dyDescent="0.3">
      <c r="A19" s="19" t="s">
        <v>47</v>
      </c>
      <c r="B19" s="21">
        <v>14</v>
      </c>
      <c r="C19" s="3" t="s">
        <v>132</v>
      </c>
      <c r="D19" s="3" t="s">
        <v>5</v>
      </c>
      <c r="E19" s="3" t="s">
        <v>147</v>
      </c>
      <c r="F19" s="28" t="s">
        <v>148</v>
      </c>
      <c r="G19" s="5">
        <v>105.065437</v>
      </c>
      <c r="H19" s="5">
        <v>10.915626</v>
      </c>
      <c r="I19" s="5">
        <v>105.0784001</v>
      </c>
      <c r="J19" s="5">
        <v>10.9189998</v>
      </c>
      <c r="K19" s="3">
        <v>320</v>
      </c>
      <c r="L19" s="3"/>
      <c r="M19" s="15"/>
      <c r="N19" s="3">
        <v>1</v>
      </c>
      <c r="O19" s="13"/>
      <c r="P19" s="3"/>
      <c r="Q19" s="3">
        <v>1</v>
      </c>
      <c r="R19" s="27"/>
      <c r="S19" s="3"/>
      <c r="T19" s="47" t="s">
        <v>61</v>
      </c>
      <c r="U19" s="48">
        <v>1</v>
      </c>
      <c r="V19" s="10" t="s">
        <v>664</v>
      </c>
      <c r="W19" s="10" t="s">
        <v>719</v>
      </c>
    </row>
    <row r="20" spans="1:23" ht="18" x14ac:dyDescent="0.3">
      <c r="A20" s="19" t="s">
        <v>47</v>
      </c>
      <c r="B20" s="21">
        <v>15</v>
      </c>
      <c r="C20" s="3" t="s">
        <v>132</v>
      </c>
      <c r="D20" s="3" t="s">
        <v>5</v>
      </c>
      <c r="E20" s="3" t="s">
        <v>148</v>
      </c>
      <c r="F20" s="28" t="s">
        <v>149</v>
      </c>
      <c r="G20" s="5">
        <v>105.0784001</v>
      </c>
      <c r="H20" s="5">
        <v>10.9189998</v>
      </c>
      <c r="I20" s="5">
        <v>105.083</v>
      </c>
      <c r="J20" s="5">
        <v>10.9208</v>
      </c>
      <c r="K20" s="3">
        <v>330</v>
      </c>
      <c r="L20" s="3"/>
      <c r="M20" s="15"/>
      <c r="N20" s="3"/>
      <c r="O20" s="13"/>
      <c r="P20" s="3"/>
      <c r="Q20" s="3">
        <v>1</v>
      </c>
      <c r="R20" s="27"/>
      <c r="S20" s="3"/>
      <c r="T20" s="47" t="s">
        <v>61</v>
      </c>
      <c r="U20" s="48">
        <v>1</v>
      </c>
      <c r="V20" s="10" t="s">
        <v>664</v>
      </c>
      <c r="W20" s="10" t="s">
        <v>719</v>
      </c>
    </row>
    <row r="21" spans="1:23" ht="18" x14ac:dyDescent="0.3">
      <c r="A21" s="19" t="s">
        <v>52</v>
      </c>
      <c r="B21" s="21">
        <v>16</v>
      </c>
      <c r="C21" s="3" t="s">
        <v>132</v>
      </c>
      <c r="D21" s="3" t="s">
        <v>151</v>
      </c>
      <c r="E21" s="3" t="s">
        <v>152</v>
      </c>
      <c r="F21" s="28" t="s">
        <v>153</v>
      </c>
      <c r="G21" s="5">
        <v>105.06722000000001</v>
      </c>
      <c r="H21" s="5">
        <v>10.794119999999999</v>
      </c>
      <c r="I21" s="5">
        <v>105.06686999999999</v>
      </c>
      <c r="J21" s="5">
        <v>10.79368</v>
      </c>
      <c r="K21" s="3">
        <v>150</v>
      </c>
      <c r="L21" s="3"/>
      <c r="M21" s="13"/>
      <c r="N21" s="3"/>
      <c r="O21" s="13"/>
      <c r="P21" s="3"/>
      <c r="Q21" s="3">
        <v>1</v>
      </c>
      <c r="R21" s="3"/>
      <c r="S21" s="3"/>
      <c r="T21" s="47" t="s">
        <v>62</v>
      </c>
      <c r="U21" s="48">
        <v>1</v>
      </c>
      <c r="V21" s="10" t="s">
        <v>664</v>
      </c>
      <c r="W21" s="10" t="s">
        <v>719</v>
      </c>
    </row>
    <row r="22" spans="1:23" ht="18" x14ac:dyDescent="0.3">
      <c r="A22" s="19" t="s">
        <v>52</v>
      </c>
      <c r="B22" s="21">
        <v>17</v>
      </c>
      <c r="C22" s="3" t="s">
        <v>132</v>
      </c>
      <c r="D22" s="3" t="s">
        <v>151</v>
      </c>
      <c r="E22" s="3" t="s">
        <v>153</v>
      </c>
      <c r="F22" s="28" t="s">
        <v>154</v>
      </c>
      <c r="G22" s="5">
        <v>105.06686999999999</v>
      </c>
      <c r="H22" s="5">
        <v>10.79368</v>
      </c>
      <c r="I22" s="5">
        <v>105.06712</v>
      </c>
      <c r="J22" s="5">
        <v>10.79415</v>
      </c>
      <c r="K22" s="3">
        <v>100</v>
      </c>
      <c r="L22" s="3"/>
      <c r="M22" s="13"/>
      <c r="N22" s="3">
        <v>1</v>
      </c>
      <c r="O22" s="13"/>
      <c r="P22" s="3"/>
      <c r="Q22" s="3">
        <v>1</v>
      </c>
      <c r="R22" s="3"/>
      <c r="S22" s="3"/>
      <c r="T22" s="47" t="s">
        <v>62</v>
      </c>
      <c r="U22" s="48">
        <v>1</v>
      </c>
      <c r="V22" s="10" t="s">
        <v>664</v>
      </c>
      <c r="W22" s="10" t="s">
        <v>719</v>
      </c>
    </row>
    <row r="23" spans="1:23" ht="18" x14ac:dyDescent="0.3">
      <c r="A23" s="19" t="s">
        <v>53</v>
      </c>
      <c r="B23" s="21">
        <v>18</v>
      </c>
      <c r="C23" s="3" t="s">
        <v>132</v>
      </c>
      <c r="D23" s="3" t="s">
        <v>151</v>
      </c>
      <c r="E23" s="3" t="s">
        <v>154</v>
      </c>
      <c r="F23" s="28" t="s">
        <v>155</v>
      </c>
      <c r="G23" s="5">
        <v>105.06712</v>
      </c>
      <c r="H23" s="5">
        <v>10.79415</v>
      </c>
      <c r="I23" s="5">
        <v>105.06761</v>
      </c>
      <c r="J23" s="5">
        <v>10.795249999999999</v>
      </c>
      <c r="K23" s="3">
        <v>250</v>
      </c>
      <c r="L23" s="3"/>
      <c r="M23" s="13"/>
      <c r="N23" s="3"/>
      <c r="O23" s="13"/>
      <c r="P23" s="3"/>
      <c r="Q23" s="3">
        <v>1</v>
      </c>
      <c r="R23" s="3"/>
      <c r="S23" s="3"/>
      <c r="T23" s="47" t="s">
        <v>62</v>
      </c>
      <c r="U23" s="48">
        <v>1</v>
      </c>
      <c r="V23" s="10" t="s">
        <v>664</v>
      </c>
      <c r="W23" s="10" t="s">
        <v>719</v>
      </c>
    </row>
    <row r="24" spans="1:23" ht="18" x14ac:dyDescent="0.3">
      <c r="A24" s="19" t="s">
        <v>53</v>
      </c>
      <c r="B24" s="21">
        <v>19</v>
      </c>
      <c r="C24" s="3" t="s">
        <v>132</v>
      </c>
      <c r="D24" s="3" t="s">
        <v>151</v>
      </c>
      <c r="E24" s="3" t="s">
        <v>155</v>
      </c>
      <c r="F24" s="28" t="s">
        <v>156</v>
      </c>
      <c r="G24" s="5">
        <v>105.06761</v>
      </c>
      <c r="H24" s="5">
        <v>10.795249999999999</v>
      </c>
      <c r="I24" s="5">
        <v>105.06731000000001</v>
      </c>
      <c r="J24" s="5">
        <v>10.795339999999999</v>
      </c>
      <c r="K24" s="3">
        <v>150</v>
      </c>
      <c r="L24" s="3"/>
      <c r="M24" s="13"/>
      <c r="N24" s="3"/>
      <c r="O24" s="13"/>
      <c r="P24" s="3"/>
      <c r="Q24" s="3">
        <v>1</v>
      </c>
      <c r="R24" s="3"/>
      <c r="S24" s="3"/>
      <c r="T24" s="47" t="s">
        <v>62</v>
      </c>
      <c r="U24" s="48">
        <v>1</v>
      </c>
      <c r="V24" s="10" t="s">
        <v>664</v>
      </c>
      <c r="W24" s="10" t="s">
        <v>719</v>
      </c>
    </row>
    <row r="25" spans="1:23" ht="18" x14ac:dyDescent="0.3">
      <c r="A25" s="19" t="s">
        <v>53</v>
      </c>
      <c r="B25" s="21">
        <v>20</v>
      </c>
      <c r="C25" s="3" t="s">
        <v>132</v>
      </c>
      <c r="D25" s="3" t="s">
        <v>151</v>
      </c>
      <c r="E25" s="3" t="s">
        <v>157</v>
      </c>
      <c r="F25" s="28" t="s">
        <v>158</v>
      </c>
      <c r="G25" s="5">
        <v>105.06814</v>
      </c>
      <c r="H25" s="5">
        <v>10.788080000000001</v>
      </c>
      <c r="I25" s="5">
        <v>105.06994</v>
      </c>
      <c r="J25" s="5">
        <v>10.78781</v>
      </c>
      <c r="K25" s="3">
        <v>200</v>
      </c>
      <c r="L25" s="3"/>
      <c r="M25" s="13"/>
      <c r="N25" s="3"/>
      <c r="O25" s="13"/>
      <c r="P25" s="3"/>
      <c r="Q25" s="3">
        <v>1</v>
      </c>
      <c r="R25" s="3"/>
      <c r="S25" s="3"/>
      <c r="T25" s="47" t="s">
        <v>62</v>
      </c>
      <c r="U25" s="48">
        <v>1</v>
      </c>
      <c r="V25" s="10" t="s">
        <v>664</v>
      </c>
      <c r="W25" s="10" t="s">
        <v>719</v>
      </c>
    </row>
    <row r="26" spans="1:23" ht="18" x14ac:dyDescent="0.3">
      <c r="A26" s="19" t="s">
        <v>53</v>
      </c>
      <c r="B26" s="21">
        <v>21</v>
      </c>
      <c r="C26" s="3" t="s">
        <v>132</v>
      </c>
      <c r="D26" s="3" t="s">
        <v>151</v>
      </c>
      <c r="E26" s="3" t="s">
        <v>158</v>
      </c>
      <c r="F26" s="28" t="s">
        <v>159</v>
      </c>
      <c r="G26" s="5">
        <v>105.06994</v>
      </c>
      <c r="H26" s="5">
        <v>10.78781</v>
      </c>
      <c r="I26" s="5">
        <v>105.07093999999999</v>
      </c>
      <c r="J26" s="5">
        <v>10.7879</v>
      </c>
      <c r="K26" s="3">
        <v>150</v>
      </c>
      <c r="L26" s="3"/>
      <c r="M26" s="13"/>
      <c r="N26" s="3">
        <v>1</v>
      </c>
      <c r="O26" s="13"/>
      <c r="P26" s="3"/>
      <c r="Q26" s="3">
        <v>1</v>
      </c>
      <c r="R26" s="3"/>
      <c r="S26" s="3"/>
      <c r="T26" s="47" t="s">
        <v>62</v>
      </c>
      <c r="U26" s="48">
        <v>1</v>
      </c>
      <c r="V26" s="10" t="s">
        <v>664</v>
      </c>
      <c r="W26" s="10" t="s">
        <v>719</v>
      </c>
    </row>
    <row r="27" spans="1:23" ht="18" x14ac:dyDescent="0.3">
      <c r="A27" s="19" t="s">
        <v>53</v>
      </c>
      <c r="B27" s="21">
        <v>22</v>
      </c>
      <c r="C27" s="3" t="s">
        <v>132</v>
      </c>
      <c r="D27" s="3" t="s">
        <v>151</v>
      </c>
      <c r="E27" s="3" t="s">
        <v>159</v>
      </c>
      <c r="F27" s="28" t="s">
        <v>150</v>
      </c>
      <c r="G27" s="5">
        <v>105.07093999999999</v>
      </c>
      <c r="H27" s="5">
        <v>10.7879</v>
      </c>
      <c r="I27" s="5">
        <v>105.0731</v>
      </c>
      <c r="J27" s="5">
        <v>10.78837</v>
      </c>
      <c r="K27" s="3">
        <v>150</v>
      </c>
      <c r="L27" s="3"/>
      <c r="M27" s="13"/>
      <c r="N27" s="3"/>
      <c r="O27" s="13"/>
      <c r="P27" s="3"/>
      <c r="Q27" s="3">
        <v>1</v>
      </c>
      <c r="R27" s="3"/>
      <c r="S27" s="3"/>
      <c r="T27" s="47" t="s">
        <v>62</v>
      </c>
      <c r="U27" s="48">
        <v>1</v>
      </c>
      <c r="V27" s="10" t="s">
        <v>664</v>
      </c>
      <c r="W27" s="10" t="s">
        <v>719</v>
      </c>
    </row>
    <row r="28" spans="1:23" ht="18" x14ac:dyDescent="0.3">
      <c r="A28" s="19" t="s">
        <v>53</v>
      </c>
      <c r="B28" s="21">
        <v>23</v>
      </c>
      <c r="C28" s="3" t="s">
        <v>132</v>
      </c>
      <c r="D28" s="3" t="s">
        <v>151</v>
      </c>
      <c r="E28" s="3" t="s">
        <v>150</v>
      </c>
      <c r="F28" s="28" t="s">
        <v>160</v>
      </c>
      <c r="G28" s="5">
        <v>105.0731</v>
      </c>
      <c r="H28" s="5">
        <v>10.78837</v>
      </c>
      <c r="I28" s="5">
        <v>105.07340000000001</v>
      </c>
      <c r="J28" s="5">
        <v>10.78858</v>
      </c>
      <c r="K28" s="3">
        <v>100</v>
      </c>
      <c r="L28" s="3"/>
      <c r="M28" s="13"/>
      <c r="N28" s="3"/>
      <c r="O28" s="13"/>
      <c r="P28" s="3"/>
      <c r="Q28" s="3">
        <v>1</v>
      </c>
      <c r="R28" s="3"/>
      <c r="S28" s="3"/>
      <c r="T28" s="47" t="s">
        <v>62</v>
      </c>
      <c r="U28" s="48">
        <v>1</v>
      </c>
      <c r="V28" s="10" t="s">
        <v>664</v>
      </c>
      <c r="W28" s="10" t="s">
        <v>719</v>
      </c>
    </row>
    <row r="29" spans="1:23" ht="18" x14ac:dyDescent="0.3">
      <c r="A29" s="19" t="s">
        <v>53</v>
      </c>
      <c r="B29" s="21">
        <v>24</v>
      </c>
      <c r="C29" s="3" t="s">
        <v>132</v>
      </c>
      <c r="D29" s="3" t="s">
        <v>151</v>
      </c>
      <c r="E29" s="3" t="s">
        <v>160</v>
      </c>
      <c r="F29" s="28" t="s">
        <v>161</v>
      </c>
      <c r="G29" s="5">
        <v>105.07340000000001</v>
      </c>
      <c r="H29" s="5">
        <v>10.78858</v>
      </c>
      <c r="I29" s="5">
        <v>105.07513</v>
      </c>
      <c r="J29" s="5">
        <v>10.78913</v>
      </c>
      <c r="K29" s="3">
        <v>200</v>
      </c>
      <c r="L29" s="3"/>
      <c r="M29" s="13"/>
      <c r="N29" s="3"/>
      <c r="O29" s="13"/>
      <c r="P29" s="3"/>
      <c r="Q29" s="3">
        <v>1</v>
      </c>
      <c r="R29" s="3"/>
      <c r="S29" s="3"/>
      <c r="T29" s="47" t="s">
        <v>62</v>
      </c>
      <c r="U29" s="48">
        <v>1</v>
      </c>
      <c r="V29" s="10" t="s">
        <v>664</v>
      </c>
      <c r="W29" s="10" t="s">
        <v>719</v>
      </c>
    </row>
    <row r="30" spans="1:23" ht="18" x14ac:dyDescent="0.3">
      <c r="A30" s="19" t="s">
        <v>53</v>
      </c>
      <c r="B30" s="21">
        <v>25</v>
      </c>
      <c r="C30" s="3" t="s">
        <v>132</v>
      </c>
      <c r="D30" s="3" t="s">
        <v>151</v>
      </c>
      <c r="E30" s="3" t="s">
        <v>161</v>
      </c>
      <c r="F30" s="28" t="s">
        <v>162</v>
      </c>
      <c r="G30" s="5">
        <v>105.07513</v>
      </c>
      <c r="H30" s="5">
        <v>10.78913</v>
      </c>
      <c r="I30" s="5">
        <v>105.07666</v>
      </c>
      <c r="J30" s="5">
        <v>10.789569999999999</v>
      </c>
      <c r="K30" s="3">
        <v>150</v>
      </c>
      <c r="L30" s="3"/>
      <c r="M30" s="13"/>
      <c r="N30" s="3">
        <v>1</v>
      </c>
      <c r="O30" s="13"/>
      <c r="P30" s="3"/>
      <c r="Q30" s="3">
        <v>1</v>
      </c>
      <c r="R30" s="3"/>
      <c r="S30" s="3"/>
      <c r="T30" s="47" t="s">
        <v>62</v>
      </c>
      <c r="U30" s="48">
        <v>1</v>
      </c>
      <c r="V30" s="10" t="s">
        <v>664</v>
      </c>
      <c r="W30" s="10" t="s">
        <v>719</v>
      </c>
    </row>
    <row r="31" spans="1:23" ht="18" x14ac:dyDescent="0.3">
      <c r="A31" s="19" t="s">
        <v>53</v>
      </c>
      <c r="B31" s="21">
        <v>26</v>
      </c>
      <c r="C31" s="3" t="s">
        <v>132</v>
      </c>
      <c r="D31" s="3" t="s">
        <v>151</v>
      </c>
      <c r="E31" s="3" t="s">
        <v>162</v>
      </c>
      <c r="F31" s="28" t="s">
        <v>163</v>
      </c>
      <c r="G31" s="5">
        <v>105.07666</v>
      </c>
      <c r="H31" s="5">
        <v>10.789569999999999</v>
      </c>
      <c r="I31" s="5">
        <v>105.07774999999999</v>
      </c>
      <c r="J31" s="5">
        <v>10.78969</v>
      </c>
      <c r="K31" s="3">
        <v>150</v>
      </c>
      <c r="L31" s="3"/>
      <c r="M31" s="13"/>
      <c r="N31" s="3"/>
      <c r="O31" s="13"/>
      <c r="P31" s="3"/>
      <c r="Q31" s="3">
        <v>1</v>
      </c>
      <c r="R31" s="3"/>
      <c r="S31" s="3"/>
      <c r="T31" s="47" t="s">
        <v>62</v>
      </c>
      <c r="U31" s="48">
        <v>1</v>
      </c>
      <c r="V31" s="10" t="s">
        <v>664</v>
      </c>
      <c r="W31" s="10" t="s">
        <v>719</v>
      </c>
    </row>
    <row r="32" spans="1:23" ht="18" x14ac:dyDescent="0.3">
      <c r="A32" s="19" t="s">
        <v>53</v>
      </c>
      <c r="B32" s="21">
        <v>27</v>
      </c>
      <c r="C32" s="3" t="s">
        <v>132</v>
      </c>
      <c r="D32" s="3" t="s">
        <v>151</v>
      </c>
      <c r="E32" s="3" t="s">
        <v>163</v>
      </c>
      <c r="F32" s="28" t="s">
        <v>164</v>
      </c>
      <c r="G32" s="5">
        <v>105.07774999999999</v>
      </c>
      <c r="H32" s="5">
        <v>10.78969</v>
      </c>
      <c r="I32" s="5">
        <v>105.0805</v>
      </c>
      <c r="J32" s="5">
        <v>10.79064</v>
      </c>
      <c r="K32" s="3">
        <v>250</v>
      </c>
      <c r="L32" s="3"/>
      <c r="M32" s="13"/>
      <c r="N32" s="3"/>
      <c r="O32" s="13"/>
      <c r="P32" s="3"/>
      <c r="Q32" s="3">
        <v>1</v>
      </c>
      <c r="R32" s="3"/>
      <c r="S32" s="3"/>
      <c r="T32" s="47" t="s">
        <v>62</v>
      </c>
      <c r="U32" s="48">
        <v>1</v>
      </c>
      <c r="V32" s="10" t="s">
        <v>664</v>
      </c>
      <c r="W32" s="10" t="s">
        <v>719</v>
      </c>
    </row>
    <row r="33" spans="1:23" ht="18" x14ac:dyDescent="0.3">
      <c r="A33" s="19" t="s">
        <v>53</v>
      </c>
      <c r="B33" s="21">
        <v>28</v>
      </c>
      <c r="C33" s="3" t="s">
        <v>132</v>
      </c>
      <c r="D33" s="3" t="s">
        <v>151</v>
      </c>
      <c r="E33" s="3" t="s">
        <v>164</v>
      </c>
      <c r="F33" s="28" t="s">
        <v>165</v>
      </c>
      <c r="G33" s="5">
        <v>105.0805</v>
      </c>
      <c r="H33" s="5">
        <v>10.79064</v>
      </c>
      <c r="I33" s="5">
        <v>105.08136</v>
      </c>
      <c r="J33" s="5">
        <v>10.79082</v>
      </c>
      <c r="K33" s="3">
        <v>150</v>
      </c>
      <c r="L33" s="3"/>
      <c r="M33" s="13"/>
      <c r="N33" s="3">
        <v>1</v>
      </c>
      <c r="O33" s="13"/>
      <c r="P33" s="3"/>
      <c r="Q33" s="3">
        <v>1</v>
      </c>
      <c r="R33" s="3"/>
      <c r="S33" s="3"/>
      <c r="T33" s="47" t="s">
        <v>62</v>
      </c>
      <c r="U33" s="48">
        <v>1</v>
      </c>
      <c r="V33" s="10" t="s">
        <v>664</v>
      </c>
      <c r="W33" s="10" t="s">
        <v>719</v>
      </c>
    </row>
    <row r="34" spans="1:23" ht="18" x14ac:dyDescent="0.3">
      <c r="A34" s="19" t="s">
        <v>53</v>
      </c>
      <c r="B34" s="21">
        <v>29</v>
      </c>
      <c r="C34" s="3" t="s">
        <v>132</v>
      </c>
      <c r="D34" s="3" t="s">
        <v>166</v>
      </c>
      <c r="E34" s="3" t="s">
        <v>167</v>
      </c>
      <c r="F34" s="28" t="s">
        <v>168</v>
      </c>
      <c r="G34" s="5" t="s">
        <v>169</v>
      </c>
      <c r="H34" s="5" t="s">
        <v>170</v>
      </c>
      <c r="I34" s="5" t="s">
        <v>171</v>
      </c>
      <c r="J34" s="5" t="s">
        <v>172</v>
      </c>
      <c r="K34" s="3">
        <v>370</v>
      </c>
      <c r="L34" s="3"/>
      <c r="M34" s="13"/>
      <c r="N34" s="3">
        <v>1</v>
      </c>
      <c r="O34" s="13"/>
      <c r="P34" s="3"/>
      <c r="Q34" s="3">
        <v>1</v>
      </c>
      <c r="R34" s="3"/>
      <c r="S34" s="3"/>
      <c r="T34" s="19" t="s">
        <v>194</v>
      </c>
      <c r="U34" s="48">
        <v>1</v>
      </c>
      <c r="V34" s="10" t="s">
        <v>664</v>
      </c>
      <c r="W34" s="10" t="s">
        <v>719</v>
      </c>
    </row>
    <row r="35" spans="1:23" ht="18" x14ac:dyDescent="0.3">
      <c r="A35" s="19" t="s">
        <v>53</v>
      </c>
      <c r="B35" s="21">
        <v>30</v>
      </c>
      <c r="C35" s="3" t="s">
        <v>132</v>
      </c>
      <c r="D35" s="3" t="s">
        <v>166</v>
      </c>
      <c r="E35" s="3" t="s">
        <v>168</v>
      </c>
      <c r="F35" s="28" t="s">
        <v>173</v>
      </c>
      <c r="G35" s="5" t="s">
        <v>171</v>
      </c>
      <c r="H35" s="5" t="s">
        <v>172</v>
      </c>
      <c r="I35" s="5" t="s">
        <v>174</v>
      </c>
      <c r="J35" s="5" t="s">
        <v>175</v>
      </c>
      <c r="K35" s="3">
        <v>60</v>
      </c>
      <c r="L35" s="3"/>
      <c r="M35" s="13"/>
      <c r="N35" s="3"/>
      <c r="O35" s="13"/>
      <c r="P35" s="3"/>
      <c r="Q35" s="3">
        <v>1</v>
      </c>
      <c r="R35" s="3"/>
      <c r="S35" s="3"/>
      <c r="T35" s="19" t="s">
        <v>194</v>
      </c>
      <c r="U35" s="48">
        <v>1</v>
      </c>
      <c r="V35" s="10" t="s">
        <v>664</v>
      </c>
      <c r="W35" s="10" t="s">
        <v>719</v>
      </c>
    </row>
    <row r="36" spans="1:23" ht="18" x14ac:dyDescent="0.3">
      <c r="A36" s="19" t="s">
        <v>53</v>
      </c>
      <c r="B36" s="21">
        <v>31</v>
      </c>
      <c r="C36" s="3" t="s">
        <v>132</v>
      </c>
      <c r="D36" s="3" t="s">
        <v>166</v>
      </c>
      <c r="E36" s="3" t="s">
        <v>173</v>
      </c>
      <c r="F36" s="28" t="s">
        <v>176</v>
      </c>
      <c r="G36" s="5" t="s">
        <v>174</v>
      </c>
      <c r="H36" s="5" t="s">
        <v>175</v>
      </c>
      <c r="I36" s="5" t="s">
        <v>177</v>
      </c>
      <c r="J36" s="5" t="s">
        <v>178</v>
      </c>
      <c r="K36" s="3">
        <v>200</v>
      </c>
      <c r="L36" s="3"/>
      <c r="M36" s="13"/>
      <c r="N36" s="3"/>
      <c r="O36" s="13"/>
      <c r="P36" s="3"/>
      <c r="Q36" s="3">
        <v>1</v>
      </c>
      <c r="R36" s="3"/>
      <c r="S36" s="3"/>
      <c r="T36" s="19" t="s">
        <v>194</v>
      </c>
      <c r="U36" s="48">
        <v>1</v>
      </c>
      <c r="V36" s="10" t="s">
        <v>664</v>
      </c>
      <c r="W36" s="10" t="s">
        <v>719</v>
      </c>
    </row>
    <row r="37" spans="1:23" ht="18" x14ac:dyDescent="0.3">
      <c r="A37" s="19" t="s">
        <v>53</v>
      </c>
      <c r="B37" s="21">
        <v>32</v>
      </c>
      <c r="C37" s="3" t="s">
        <v>132</v>
      </c>
      <c r="D37" s="3" t="s">
        <v>166</v>
      </c>
      <c r="E37" s="3" t="s">
        <v>176</v>
      </c>
      <c r="F37" s="28" t="s">
        <v>179</v>
      </c>
      <c r="G37" s="5" t="s">
        <v>177</v>
      </c>
      <c r="H37" s="5" t="s">
        <v>178</v>
      </c>
      <c r="I37" s="5" t="s">
        <v>180</v>
      </c>
      <c r="J37" s="5" t="s">
        <v>181</v>
      </c>
      <c r="K37" s="3">
        <v>200</v>
      </c>
      <c r="L37" s="3"/>
      <c r="M37" s="13"/>
      <c r="N37" s="3"/>
      <c r="O37" s="13"/>
      <c r="P37" s="3"/>
      <c r="Q37" s="3">
        <v>1</v>
      </c>
      <c r="R37" s="3"/>
      <c r="S37" s="3"/>
      <c r="T37" s="19" t="s">
        <v>194</v>
      </c>
      <c r="U37" s="48">
        <v>1</v>
      </c>
      <c r="V37" s="10" t="s">
        <v>664</v>
      </c>
      <c r="W37" s="10" t="s">
        <v>719</v>
      </c>
    </row>
    <row r="38" spans="1:23" ht="18" x14ac:dyDescent="0.3">
      <c r="A38" s="19" t="s">
        <v>53</v>
      </c>
      <c r="B38" s="21">
        <v>33</v>
      </c>
      <c r="C38" s="3" t="s">
        <v>132</v>
      </c>
      <c r="D38" s="3" t="s">
        <v>182</v>
      </c>
      <c r="E38" s="3" t="s">
        <v>183</v>
      </c>
      <c r="F38" s="28" t="s">
        <v>184</v>
      </c>
      <c r="G38" s="5">
        <v>105.12721474</v>
      </c>
      <c r="H38" s="5">
        <v>10.899763370000001</v>
      </c>
      <c r="I38" s="5">
        <v>105.12691459</v>
      </c>
      <c r="J38" s="5">
        <v>10.897950590000001</v>
      </c>
      <c r="K38" s="3">
        <v>250</v>
      </c>
      <c r="L38" s="3"/>
      <c r="M38" s="13"/>
      <c r="N38" s="3"/>
      <c r="O38" s="13"/>
      <c r="P38" s="3"/>
      <c r="Q38" s="3">
        <v>1</v>
      </c>
      <c r="R38" s="3"/>
      <c r="S38" s="3"/>
      <c r="T38" s="47" t="s">
        <v>60</v>
      </c>
      <c r="U38" s="48">
        <v>1</v>
      </c>
      <c r="V38" s="10" t="s">
        <v>664</v>
      </c>
      <c r="W38" s="10" t="s">
        <v>719</v>
      </c>
    </row>
    <row r="39" spans="1:23" ht="18" x14ac:dyDescent="0.3">
      <c r="A39" s="19" t="s">
        <v>53</v>
      </c>
      <c r="B39" s="21">
        <v>34</v>
      </c>
      <c r="C39" s="3" t="s">
        <v>132</v>
      </c>
      <c r="D39" s="3" t="s">
        <v>182</v>
      </c>
      <c r="E39" s="3" t="s">
        <v>184</v>
      </c>
      <c r="F39" s="28" t="s">
        <v>185</v>
      </c>
      <c r="G39" s="5">
        <v>105.12691459</v>
      </c>
      <c r="H39" s="5">
        <v>10.897950590000001</v>
      </c>
      <c r="I39" s="5">
        <v>105.12676654000001</v>
      </c>
      <c r="J39" s="5">
        <v>10.896844979999999</v>
      </c>
      <c r="K39" s="3">
        <v>200</v>
      </c>
      <c r="L39" s="3"/>
      <c r="M39" s="13"/>
      <c r="N39" s="3">
        <v>1</v>
      </c>
      <c r="O39" s="13"/>
      <c r="P39" s="3"/>
      <c r="Q39" s="3">
        <v>1</v>
      </c>
      <c r="R39" s="3"/>
      <c r="S39" s="3"/>
      <c r="T39" s="47" t="s">
        <v>60</v>
      </c>
      <c r="U39" s="48">
        <v>1</v>
      </c>
      <c r="V39" s="10" t="s">
        <v>664</v>
      </c>
      <c r="W39" s="10" t="s">
        <v>719</v>
      </c>
    </row>
    <row r="40" spans="1:23" ht="18" x14ac:dyDescent="0.3">
      <c r="A40" s="19" t="s">
        <v>53</v>
      </c>
      <c r="B40" s="21">
        <v>35</v>
      </c>
      <c r="C40" s="3" t="s">
        <v>132</v>
      </c>
      <c r="D40" s="3" t="s">
        <v>182</v>
      </c>
      <c r="E40" s="3" t="s">
        <v>185</v>
      </c>
      <c r="F40" s="28" t="s">
        <v>186</v>
      </c>
      <c r="G40" s="5">
        <v>105.12676654000001</v>
      </c>
      <c r="H40" s="5">
        <v>10.896844979999999</v>
      </c>
      <c r="I40" s="5">
        <v>105.12670108</v>
      </c>
      <c r="J40" s="5">
        <v>10.895562119999999</v>
      </c>
      <c r="K40" s="3">
        <v>150</v>
      </c>
      <c r="L40" s="3"/>
      <c r="M40" s="13"/>
      <c r="N40" s="3"/>
      <c r="O40" s="13"/>
      <c r="P40" s="3"/>
      <c r="Q40" s="3">
        <v>1</v>
      </c>
      <c r="R40" s="3"/>
      <c r="S40" s="3"/>
      <c r="T40" s="47" t="s">
        <v>60</v>
      </c>
      <c r="U40" s="48">
        <v>1</v>
      </c>
      <c r="V40" s="10" t="s">
        <v>664</v>
      </c>
      <c r="W40" s="10" t="s">
        <v>719</v>
      </c>
    </row>
    <row r="41" spans="1:23" ht="18" x14ac:dyDescent="0.3">
      <c r="A41" s="19" t="s">
        <v>53</v>
      </c>
      <c r="B41" s="21">
        <v>36</v>
      </c>
      <c r="C41" s="3" t="s">
        <v>132</v>
      </c>
      <c r="D41" s="3" t="s">
        <v>182</v>
      </c>
      <c r="E41" s="3" t="s">
        <v>186</v>
      </c>
      <c r="F41" s="28" t="s">
        <v>187</v>
      </c>
      <c r="G41" s="5">
        <v>105.12670108</v>
      </c>
      <c r="H41" s="5">
        <v>10.895562119999999</v>
      </c>
      <c r="I41" s="5">
        <v>105.126597</v>
      </c>
      <c r="J41" s="5">
        <v>10.895023999999999</v>
      </c>
      <c r="K41" s="3">
        <v>150</v>
      </c>
      <c r="L41" s="3"/>
      <c r="M41" s="13"/>
      <c r="N41" s="3"/>
      <c r="O41" s="13"/>
      <c r="P41" s="3"/>
      <c r="Q41" s="3">
        <v>1</v>
      </c>
      <c r="R41" s="3"/>
      <c r="S41" s="3"/>
      <c r="T41" s="47" t="s">
        <v>60</v>
      </c>
      <c r="U41" s="48">
        <v>1</v>
      </c>
      <c r="V41" s="10" t="s">
        <v>664</v>
      </c>
      <c r="W41" s="10" t="s">
        <v>719</v>
      </c>
    </row>
    <row r="42" spans="1:23" ht="18" x14ac:dyDescent="0.3">
      <c r="A42" s="19" t="s">
        <v>55</v>
      </c>
      <c r="B42" s="21">
        <v>37</v>
      </c>
      <c r="C42" s="3" t="s">
        <v>132</v>
      </c>
      <c r="D42" s="3" t="s">
        <v>56</v>
      </c>
      <c r="E42" s="3" t="s">
        <v>188</v>
      </c>
      <c r="F42" s="28" t="s">
        <v>189</v>
      </c>
      <c r="G42" s="5">
        <v>105.10615701</v>
      </c>
      <c r="H42" s="5">
        <v>10.85694661</v>
      </c>
      <c r="I42" s="5">
        <v>105.1044445</v>
      </c>
      <c r="J42" s="5">
        <v>10.85651893</v>
      </c>
      <c r="K42" s="3">
        <v>250</v>
      </c>
      <c r="L42" s="3"/>
      <c r="M42" s="13"/>
      <c r="N42" s="3"/>
      <c r="O42" s="13"/>
      <c r="P42" s="3"/>
      <c r="Q42" s="3">
        <v>1</v>
      </c>
      <c r="R42" s="3"/>
      <c r="S42" s="3"/>
      <c r="T42" s="47" t="s">
        <v>59</v>
      </c>
      <c r="U42" s="48">
        <v>1</v>
      </c>
      <c r="V42" s="10" t="s">
        <v>664</v>
      </c>
      <c r="W42" s="10" t="s">
        <v>719</v>
      </c>
    </row>
    <row r="43" spans="1:23" ht="18" x14ac:dyDescent="0.3">
      <c r="A43" s="19" t="s">
        <v>55</v>
      </c>
      <c r="B43" s="21">
        <v>38</v>
      </c>
      <c r="C43" s="3" t="s">
        <v>132</v>
      </c>
      <c r="D43" s="3" t="s">
        <v>56</v>
      </c>
      <c r="E43" s="3" t="s">
        <v>189</v>
      </c>
      <c r="F43" s="28" t="s">
        <v>190</v>
      </c>
      <c r="G43" s="5">
        <v>105.1044445</v>
      </c>
      <c r="H43" s="5">
        <v>10.85651893</v>
      </c>
      <c r="I43" s="5">
        <v>105.10266273000001</v>
      </c>
      <c r="J43" s="5">
        <v>10.855930280000001</v>
      </c>
      <c r="K43" s="3">
        <v>200</v>
      </c>
      <c r="L43" s="3"/>
      <c r="M43" s="13"/>
      <c r="N43" s="3">
        <v>1</v>
      </c>
      <c r="O43" s="13"/>
      <c r="P43" s="3"/>
      <c r="Q43" s="3">
        <v>1</v>
      </c>
      <c r="R43" s="3"/>
      <c r="S43" s="3"/>
      <c r="T43" s="47" t="s">
        <v>59</v>
      </c>
      <c r="U43" s="48">
        <v>1</v>
      </c>
      <c r="V43" s="10" t="s">
        <v>664</v>
      </c>
      <c r="W43" s="10" t="s">
        <v>719</v>
      </c>
    </row>
    <row r="44" spans="1:23" ht="18" x14ac:dyDescent="0.3">
      <c r="A44" s="19" t="s">
        <v>55</v>
      </c>
      <c r="B44" s="21">
        <v>39</v>
      </c>
      <c r="C44" s="3" t="s">
        <v>132</v>
      </c>
      <c r="D44" s="3" t="s">
        <v>56</v>
      </c>
      <c r="E44" s="3" t="s">
        <v>190</v>
      </c>
      <c r="F44" s="28" t="s">
        <v>191</v>
      </c>
      <c r="G44" s="5">
        <v>105.10266273000001</v>
      </c>
      <c r="H44" s="5">
        <v>10.855930280000001</v>
      </c>
      <c r="I44" s="5">
        <v>105.10141935999999</v>
      </c>
      <c r="J44" s="5">
        <v>10.85710705</v>
      </c>
      <c r="K44" s="3">
        <v>350</v>
      </c>
      <c r="L44" s="3"/>
      <c r="M44" s="13"/>
      <c r="N44" s="3"/>
      <c r="O44" s="13"/>
      <c r="P44" s="3"/>
      <c r="Q44" s="3">
        <v>1</v>
      </c>
      <c r="R44" s="3"/>
      <c r="S44" s="3"/>
      <c r="T44" s="47" t="s">
        <v>59</v>
      </c>
      <c r="U44" s="48">
        <v>1</v>
      </c>
      <c r="V44" s="10" t="s">
        <v>664</v>
      </c>
      <c r="W44" s="10" t="s">
        <v>719</v>
      </c>
    </row>
    <row r="45" spans="1:23" ht="18" x14ac:dyDescent="0.3">
      <c r="A45" s="19" t="s">
        <v>55</v>
      </c>
      <c r="B45" s="21">
        <v>40</v>
      </c>
      <c r="C45" s="3" t="s">
        <v>132</v>
      </c>
      <c r="D45" s="3" t="s">
        <v>56</v>
      </c>
      <c r="E45" s="3" t="s">
        <v>191</v>
      </c>
      <c r="F45" s="28" t="s">
        <v>192</v>
      </c>
      <c r="G45" s="5">
        <v>105.10141935999999</v>
      </c>
      <c r="H45" s="5">
        <v>10.85710705</v>
      </c>
      <c r="I45" s="5">
        <v>105.10148</v>
      </c>
      <c r="J45" s="5">
        <v>10.857524</v>
      </c>
      <c r="K45" s="3">
        <v>200</v>
      </c>
      <c r="L45" s="3"/>
      <c r="M45" s="13"/>
      <c r="N45" s="3"/>
      <c r="O45" s="13"/>
      <c r="P45" s="3"/>
      <c r="Q45" s="3">
        <v>1</v>
      </c>
      <c r="R45" s="3"/>
      <c r="S45" s="3"/>
      <c r="T45" s="47" t="s">
        <v>59</v>
      </c>
      <c r="U45" s="48">
        <v>1</v>
      </c>
      <c r="V45" s="10" t="s">
        <v>664</v>
      </c>
      <c r="W45" s="10" t="s">
        <v>719</v>
      </c>
    </row>
    <row r="46" spans="1:23" ht="16.8" x14ac:dyDescent="0.3">
      <c r="B46" s="21">
        <v>41</v>
      </c>
      <c r="C46" s="52" t="s">
        <v>132</v>
      </c>
      <c r="D46" s="52" t="s">
        <v>166</v>
      </c>
      <c r="E46" s="52" t="s">
        <v>607</v>
      </c>
      <c r="F46" s="52" t="s">
        <v>608</v>
      </c>
      <c r="G46" s="53">
        <v>105.114914</v>
      </c>
      <c r="H46" s="53">
        <v>10.952539</v>
      </c>
      <c r="I46" s="53">
        <v>105.11523329000001</v>
      </c>
      <c r="J46" s="53">
        <v>10.95255349</v>
      </c>
      <c r="K46" s="52">
        <v>60</v>
      </c>
      <c r="L46" s="52"/>
      <c r="M46" s="52"/>
      <c r="N46" s="52">
        <v>1</v>
      </c>
      <c r="O46" s="52"/>
      <c r="P46" s="52"/>
      <c r="Q46" s="52">
        <v>1</v>
      </c>
      <c r="R46" s="52"/>
      <c r="S46" s="52"/>
      <c r="T46" s="52" t="s">
        <v>609</v>
      </c>
      <c r="U46" s="54">
        <v>1</v>
      </c>
      <c r="V46" s="10" t="s">
        <v>664</v>
      </c>
      <c r="W46" s="10" t="s">
        <v>719</v>
      </c>
    </row>
    <row r="47" spans="1:23" ht="16.8" x14ac:dyDescent="0.3">
      <c r="B47" s="21">
        <v>42</v>
      </c>
      <c r="C47" s="52" t="s">
        <v>132</v>
      </c>
      <c r="D47" s="52" t="s">
        <v>166</v>
      </c>
      <c r="E47" s="52" t="s">
        <v>608</v>
      </c>
      <c r="F47" s="52" t="s">
        <v>610</v>
      </c>
      <c r="G47" s="53">
        <v>105.11523329000001</v>
      </c>
      <c r="H47" s="53">
        <v>10.95255349</v>
      </c>
      <c r="I47" s="53">
        <v>105.11519748000001</v>
      </c>
      <c r="J47" s="53">
        <v>10.951889919999999</v>
      </c>
      <c r="K47" s="52">
        <v>80</v>
      </c>
      <c r="L47" s="52"/>
      <c r="M47" s="52"/>
      <c r="N47" s="52"/>
      <c r="O47" s="52"/>
      <c r="P47" s="52"/>
      <c r="Q47" s="52">
        <v>1</v>
      </c>
      <c r="R47" s="52"/>
      <c r="S47" s="52"/>
      <c r="T47" s="52" t="s">
        <v>609</v>
      </c>
      <c r="U47" s="54">
        <v>1</v>
      </c>
      <c r="V47" s="10" t="s">
        <v>664</v>
      </c>
      <c r="W47" s="10" t="s">
        <v>719</v>
      </c>
    </row>
    <row r="48" spans="1:23" ht="16.8" x14ac:dyDescent="0.3">
      <c r="B48" s="21">
        <v>43</v>
      </c>
      <c r="C48" s="52" t="s">
        <v>132</v>
      </c>
      <c r="D48" s="52" t="s">
        <v>166</v>
      </c>
      <c r="E48" s="52" t="s">
        <v>610</v>
      </c>
      <c r="F48" s="52" t="s">
        <v>611</v>
      </c>
      <c r="G48" s="53">
        <v>105.11519748000001</v>
      </c>
      <c r="H48" s="53">
        <v>10.951889919999999</v>
      </c>
      <c r="I48" s="53">
        <v>105.11501924</v>
      </c>
      <c r="J48" s="53">
        <v>10.950092379999999</v>
      </c>
      <c r="K48" s="52">
        <v>210</v>
      </c>
      <c r="L48" s="52"/>
      <c r="M48" s="52"/>
      <c r="N48" s="52"/>
      <c r="O48" s="52"/>
      <c r="P48" s="52"/>
      <c r="Q48" s="52">
        <v>1</v>
      </c>
      <c r="R48" s="52"/>
      <c r="S48" s="52"/>
      <c r="T48" s="52" t="s">
        <v>609</v>
      </c>
      <c r="U48" s="54">
        <v>1</v>
      </c>
      <c r="V48" s="10" t="s">
        <v>664</v>
      </c>
      <c r="W48" s="10" t="s">
        <v>719</v>
      </c>
    </row>
    <row r="49" spans="2:23" ht="16.8" x14ac:dyDescent="0.3">
      <c r="B49" s="21">
        <v>44</v>
      </c>
      <c r="C49" s="52" t="s">
        <v>132</v>
      </c>
      <c r="D49" s="52" t="s">
        <v>166</v>
      </c>
      <c r="E49" s="52" t="s">
        <v>611</v>
      </c>
      <c r="F49" s="52" t="s">
        <v>612</v>
      </c>
      <c r="G49" s="53">
        <v>105.11501924</v>
      </c>
      <c r="H49" s="53">
        <v>10.950092379999999</v>
      </c>
      <c r="I49" s="53">
        <v>105.11490861999999</v>
      </c>
      <c r="J49" s="53">
        <v>10.947527689999999</v>
      </c>
      <c r="K49" s="52">
        <v>290</v>
      </c>
      <c r="L49" s="52"/>
      <c r="M49" s="52"/>
      <c r="N49" s="52"/>
      <c r="O49" s="52"/>
      <c r="P49" s="52"/>
      <c r="Q49" s="52">
        <v>1</v>
      </c>
      <c r="R49" s="52"/>
      <c r="S49" s="52"/>
      <c r="T49" s="52" t="s">
        <v>609</v>
      </c>
      <c r="U49" s="54">
        <v>1</v>
      </c>
      <c r="V49" s="10" t="s">
        <v>664</v>
      </c>
      <c r="W49" s="10" t="s">
        <v>719</v>
      </c>
    </row>
    <row r="50" spans="2:23" ht="16.8" x14ac:dyDescent="0.3">
      <c r="B50" s="21">
        <v>45</v>
      </c>
      <c r="C50" s="52" t="s">
        <v>132</v>
      </c>
      <c r="D50" s="52" t="s">
        <v>166</v>
      </c>
      <c r="E50" s="52" t="s">
        <v>612</v>
      </c>
      <c r="F50" s="52" t="s">
        <v>613</v>
      </c>
      <c r="G50" s="53">
        <v>105.11490861999999</v>
      </c>
      <c r="H50" s="53">
        <v>10.947527689999999</v>
      </c>
      <c r="I50" s="53">
        <v>105.11491287</v>
      </c>
      <c r="J50" s="53">
        <v>10.946813969999999</v>
      </c>
      <c r="K50" s="52">
        <v>90</v>
      </c>
      <c r="L50" s="52"/>
      <c r="M50" s="52"/>
      <c r="N50" s="52">
        <v>1</v>
      </c>
      <c r="O50" s="52"/>
      <c r="P50" s="52"/>
      <c r="Q50" s="52">
        <v>1</v>
      </c>
      <c r="R50" s="52"/>
      <c r="S50" s="52"/>
      <c r="T50" s="52" t="s">
        <v>609</v>
      </c>
      <c r="U50" s="54">
        <v>1</v>
      </c>
      <c r="V50" s="10" t="s">
        <v>664</v>
      </c>
      <c r="W50" s="10" t="s">
        <v>719</v>
      </c>
    </row>
    <row r="51" spans="2:23" ht="16.8" x14ac:dyDescent="0.3">
      <c r="B51" s="21">
        <v>46</v>
      </c>
      <c r="C51" s="52" t="s">
        <v>132</v>
      </c>
      <c r="D51" s="52" t="s">
        <v>166</v>
      </c>
      <c r="E51" s="52" t="s">
        <v>613</v>
      </c>
      <c r="F51" s="52" t="s">
        <v>614</v>
      </c>
      <c r="G51" s="53">
        <v>105.11491287</v>
      </c>
      <c r="H51" s="53">
        <v>10.946813969999999</v>
      </c>
      <c r="I51" s="53">
        <v>105.11455470999999</v>
      </c>
      <c r="J51" s="53">
        <v>10.944589969999999</v>
      </c>
      <c r="K51" s="52">
        <v>250</v>
      </c>
      <c r="L51" s="52"/>
      <c r="M51" s="52"/>
      <c r="N51" s="52"/>
      <c r="O51" s="52"/>
      <c r="P51" s="52"/>
      <c r="Q51" s="52">
        <v>1</v>
      </c>
      <c r="R51" s="52"/>
      <c r="S51" s="52"/>
      <c r="T51" s="52" t="s">
        <v>609</v>
      </c>
      <c r="U51" s="54">
        <v>1</v>
      </c>
      <c r="V51" s="10" t="s">
        <v>664</v>
      </c>
      <c r="W51" s="10" t="s">
        <v>719</v>
      </c>
    </row>
    <row r="52" spans="2:23" ht="16.8" x14ac:dyDescent="0.3">
      <c r="B52" s="21">
        <v>47</v>
      </c>
      <c r="C52" s="52" t="s">
        <v>132</v>
      </c>
      <c r="D52" s="52" t="s">
        <v>166</v>
      </c>
      <c r="E52" s="52" t="s">
        <v>614</v>
      </c>
      <c r="F52" s="52" t="s">
        <v>615</v>
      </c>
      <c r="G52" s="53">
        <v>105.11455470999999</v>
      </c>
      <c r="H52" s="53">
        <v>10.944589969999999</v>
      </c>
      <c r="I52" s="53">
        <v>105.11417658000001</v>
      </c>
      <c r="J52" s="53">
        <v>10.943221619999999</v>
      </c>
      <c r="K52" s="52">
        <v>170</v>
      </c>
      <c r="L52" s="52"/>
      <c r="M52" s="52"/>
      <c r="N52" s="52"/>
      <c r="O52" s="52"/>
      <c r="P52" s="52"/>
      <c r="Q52" s="52">
        <v>1</v>
      </c>
      <c r="R52" s="52"/>
      <c r="S52" s="52"/>
      <c r="T52" s="52" t="s">
        <v>609</v>
      </c>
      <c r="U52" s="54">
        <v>1</v>
      </c>
      <c r="V52" s="10" t="s">
        <v>664</v>
      </c>
      <c r="W52" s="10" t="s">
        <v>719</v>
      </c>
    </row>
    <row r="53" spans="2:23" ht="16.8" x14ac:dyDescent="0.3">
      <c r="B53" s="21">
        <v>48</v>
      </c>
      <c r="C53" s="52" t="s">
        <v>132</v>
      </c>
      <c r="D53" s="52" t="s">
        <v>166</v>
      </c>
      <c r="E53" s="52" t="s">
        <v>615</v>
      </c>
      <c r="F53" s="52" t="s">
        <v>616</v>
      </c>
      <c r="G53" s="53">
        <v>105.11417658000001</v>
      </c>
      <c r="H53" s="53">
        <v>10.943221619999999</v>
      </c>
      <c r="I53" s="53">
        <v>105.11370216</v>
      </c>
      <c r="J53" s="53">
        <v>10.941958189999999</v>
      </c>
      <c r="K53" s="52">
        <v>150</v>
      </c>
      <c r="L53" s="52"/>
      <c r="M53" s="52"/>
      <c r="N53" s="52"/>
      <c r="O53" s="52"/>
      <c r="P53" s="52"/>
      <c r="Q53" s="52">
        <v>1</v>
      </c>
      <c r="R53" s="52"/>
      <c r="S53" s="52"/>
      <c r="T53" s="52" t="s">
        <v>609</v>
      </c>
      <c r="U53" s="54">
        <v>1</v>
      </c>
      <c r="V53" s="10" t="s">
        <v>664</v>
      </c>
      <c r="W53" s="10" t="s">
        <v>719</v>
      </c>
    </row>
    <row r="54" spans="2:23" ht="16.8" x14ac:dyDescent="0.3">
      <c r="B54" s="21">
        <v>49</v>
      </c>
      <c r="C54" s="52" t="s">
        <v>132</v>
      </c>
      <c r="D54" s="52" t="s">
        <v>166</v>
      </c>
      <c r="E54" s="52" t="s">
        <v>616</v>
      </c>
      <c r="F54" s="52" t="s">
        <v>617</v>
      </c>
      <c r="G54" s="53">
        <v>105.11370216</v>
      </c>
      <c r="H54" s="53">
        <v>10.941958189999999</v>
      </c>
      <c r="I54" s="53">
        <v>105.11276168000001</v>
      </c>
      <c r="J54" s="53">
        <v>10.94177133</v>
      </c>
      <c r="K54" s="52">
        <v>110</v>
      </c>
      <c r="L54" s="52"/>
      <c r="M54" s="52"/>
      <c r="N54" s="52">
        <v>1</v>
      </c>
      <c r="O54" s="52"/>
      <c r="P54" s="52"/>
      <c r="Q54" s="52">
        <v>1</v>
      </c>
      <c r="R54" s="52"/>
      <c r="S54" s="52"/>
      <c r="T54" s="52" t="s">
        <v>609</v>
      </c>
      <c r="U54" s="54">
        <v>1</v>
      </c>
      <c r="V54" s="10" t="s">
        <v>664</v>
      </c>
      <c r="W54" s="10" t="s">
        <v>719</v>
      </c>
    </row>
    <row r="55" spans="2:23" ht="16.8" x14ac:dyDescent="0.3">
      <c r="B55" s="21">
        <v>50</v>
      </c>
      <c r="C55" s="52" t="s">
        <v>132</v>
      </c>
      <c r="D55" s="52" t="s">
        <v>166</v>
      </c>
      <c r="E55" s="52" t="s">
        <v>617</v>
      </c>
      <c r="F55" s="52" t="s">
        <v>618</v>
      </c>
      <c r="G55" s="53">
        <v>105.11276168000001</v>
      </c>
      <c r="H55" s="53">
        <v>10.94177133</v>
      </c>
      <c r="I55" s="53">
        <v>105.11178584</v>
      </c>
      <c r="J55" s="53">
        <v>10.94172021</v>
      </c>
      <c r="K55" s="52">
        <v>110</v>
      </c>
      <c r="L55" s="52"/>
      <c r="M55" s="52"/>
      <c r="N55" s="52"/>
      <c r="O55" s="52"/>
      <c r="P55" s="52"/>
      <c r="Q55" s="52">
        <v>1</v>
      </c>
      <c r="R55" s="52"/>
      <c r="S55" s="52"/>
      <c r="T55" s="52" t="s">
        <v>609</v>
      </c>
      <c r="U55" s="54">
        <v>1</v>
      </c>
      <c r="V55" s="10" t="s">
        <v>664</v>
      </c>
      <c r="W55" s="10" t="s">
        <v>719</v>
      </c>
    </row>
    <row r="56" spans="2:23" ht="16.8" x14ac:dyDescent="0.3">
      <c r="B56" s="21">
        <v>51</v>
      </c>
      <c r="C56" s="52" t="s">
        <v>132</v>
      </c>
      <c r="D56" s="52" t="s">
        <v>166</v>
      </c>
      <c r="E56" s="52" t="s">
        <v>619</v>
      </c>
      <c r="F56" s="52" t="s">
        <v>620</v>
      </c>
      <c r="G56" s="53">
        <v>105.11178584</v>
      </c>
      <c r="H56" s="53">
        <v>10.94172021</v>
      </c>
      <c r="I56" s="53">
        <v>105.11178772</v>
      </c>
      <c r="J56" s="53">
        <v>10.941720200000001</v>
      </c>
      <c r="K56" s="52">
        <v>70</v>
      </c>
      <c r="L56" s="52"/>
      <c r="M56" s="52"/>
      <c r="N56" s="52"/>
      <c r="O56" s="52"/>
      <c r="P56" s="52"/>
      <c r="Q56" s="52">
        <v>1</v>
      </c>
      <c r="R56" s="52"/>
      <c r="S56" s="52"/>
      <c r="T56" s="52" t="s">
        <v>609</v>
      </c>
      <c r="U56" s="54">
        <v>1</v>
      </c>
      <c r="V56" s="10" t="s">
        <v>664</v>
      </c>
      <c r="W56" s="10" t="s">
        <v>719</v>
      </c>
    </row>
    <row r="57" spans="2:23" ht="16.8" x14ac:dyDescent="0.3">
      <c r="B57" s="21">
        <v>52</v>
      </c>
      <c r="C57" s="52" t="s">
        <v>132</v>
      </c>
      <c r="D57" s="52" t="s">
        <v>166</v>
      </c>
      <c r="E57" s="52" t="s">
        <v>616</v>
      </c>
      <c r="F57" s="52" t="s">
        <v>621</v>
      </c>
      <c r="G57" s="53">
        <v>105.11370216</v>
      </c>
      <c r="H57" s="53">
        <v>10.941958189999999</v>
      </c>
      <c r="I57" s="53">
        <v>105.11315857</v>
      </c>
      <c r="J57" s="53">
        <v>10.94072115</v>
      </c>
      <c r="K57" s="52">
        <v>170</v>
      </c>
      <c r="L57" s="52"/>
      <c r="M57" s="52"/>
      <c r="N57" s="52">
        <v>1</v>
      </c>
      <c r="O57" s="52"/>
      <c r="P57" s="52"/>
      <c r="Q57" s="52">
        <v>1</v>
      </c>
      <c r="R57" s="52"/>
      <c r="S57" s="52"/>
      <c r="T57" s="52" t="s">
        <v>609</v>
      </c>
      <c r="U57" s="54">
        <v>1</v>
      </c>
      <c r="V57" s="10" t="s">
        <v>664</v>
      </c>
      <c r="W57" s="10" t="s">
        <v>719</v>
      </c>
    </row>
    <row r="58" spans="2:23" ht="16.8" x14ac:dyDescent="0.3">
      <c r="B58" s="21">
        <v>53</v>
      </c>
      <c r="C58" s="52" t="s">
        <v>132</v>
      </c>
      <c r="D58" s="52" t="s">
        <v>166</v>
      </c>
      <c r="E58" s="52" t="s">
        <v>621</v>
      </c>
      <c r="F58" s="52" t="s">
        <v>622</v>
      </c>
      <c r="G58" s="53">
        <v>105.11315857</v>
      </c>
      <c r="H58" s="53">
        <v>10.94072115</v>
      </c>
      <c r="I58" s="53">
        <v>105.11288257</v>
      </c>
      <c r="J58" s="53">
        <v>10.94003513</v>
      </c>
      <c r="K58" s="52">
        <v>90</v>
      </c>
      <c r="L58" s="52"/>
      <c r="M58" s="52"/>
      <c r="N58" s="52"/>
      <c r="O58" s="52"/>
      <c r="P58" s="52"/>
      <c r="Q58" s="52">
        <v>1</v>
      </c>
      <c r="R58" s="52"/>
      <c r="S58" s="52"/>
      <c r="T58" s="52" t="s">
        <v>609</v>
      </c>
      <c r="U58" s="54">
        <v>1</v>
      </c>
      <c r="V58" s="10" t="s">
        <v>664</v>
      </c>
      <c r="W58" s="10" t="s">
        <v>719</v>
      </c>
    </row>
    <row r="59" spans="2:23" ht="16.8" x14ac:dyDescent="0.3">
      <c r="B59" s="21">
        <v>54</v>
      </c>
      <c r="C59" s="52" t="s">
        <v>132</v>
      </c>
      <c r="D59" s="52" t="s">
        <v>166</v>
      </c>
      <c r="E59" s="52" t="s">
        <v>623</v>
      </c>
      <c r="F59" s="52" t="s">
        <v>624</v>
      </c>
      <c r="G59" s="53">
        <v>105.11288257</v>
      </c>
      <c r="H59" s="53">
        <v>10.94003513</v>
      </c>
      <c r="I59" s="53">
        <v>105.11152684</v>
      </c>
      <c r="J59" s="53">
        <v>10.93820159</v>
      </c>
      <c r="K59" s="52">
        <v>260</v>
      </c>
      <c r="L59" s="52"/>
      <c r="M59" s="52"/>
      <c r="N59" s="52"/>
      <c r="O59" s="52"/>
      <c r="P59" s="52"/>
      <c r="Q59" s="52">
        <v>1</v>
      </c>
      <c r="R59" s="52"/>
      <c r="S59" s="52"/>
      <c r="T59" s="52" t="s">
        <v>609</v>
      </c>
      <c r="U59" s="54">
        <v>1</v>
      </c>
      <c r="V59" s="10" t="s">
        <v>664</v>
      </c>
      <c r="W59" s="10" t="s">
        <v>719</v>
      </c>
    </row>
    <row r="60" spans="2:23" ht="16.8" x14ac:dyDescent="0.3">
      <c r="B60" s="21">
        <v>55</v>
      </c>
      <c r="C60" s="52" t="s">
        <v>132</v>
      </c>
      <c r="D60" s="52" t="s">
        <v>166</v>
      </c>
      <c r="E60" s="52" t="s">
        <v>624</v>
      </c>
      <c r="F60" s="52" t="s">
        <v>625</v>
      </c>
      <c r="G60" s="53">
        <v>105.11152684</v>
      </c>
      <c r="H60" s="53">
        <v>10.93820159</v>
      </c>
      <c r="I60" s="53">
        <v>105.10926126</v>
      </c>
      <c r="J60" s="53">
        <v>10.9357343</v>
      </c>
      <c r="K60" s="52">
        <v>370</v>
      </c>
      <c r="L60" s="52"/>
      <c r="M60" s="52"/>
      <c r="N60" s="52"/>
      <c r="O60" s="52"/>
      <c r="P60" s="52"/>
      <c r="Q60" s="52">
        <v>1</v>
      </c>
      <c r="R60" s="52"/>
      <c r="S60" s="52"/>
      <c r="T60" s="52" t="s">
        <v>609</v>
      </c>
      <c r="U60" s="54">
        <v>1</v>
      </c>
      <c r="V60" s="10" t="s">
        <v>664</v>
      </c>
      <c r="W60" s="10" t="s">
        <v>719</v>
      </c>
    </row>
    <row r="61" spans="2:23" ht="16.8" x14ac:dyDescent="0.3">
      <c r="B61" s="21">
        <v>56</v>
      </c>
      <c r="C61" s="52" t="s">
        <v>132</v>
      </c>
      <c r="D61" s="52" t="s">
        <v>166</v>
      </c>
      <c r="E61" s="52" t="s">
        <v>625</v>
      </c>
      <c r="F61" s="52" t="s">
        <v>626</v>
      </c>
      <c r="G61" s="53">
        <v>105.10926126</v>
      </c>
      <c r="H61" s="53">
        <v>10.9357343</v>
      </c>
      <c r="I61" s="53">
        <v>105.10806420999999</v>
      </c>
      <c r="J61" s="53">
        <v>10.93478092</v>
      </c>
      <c r="K61" s="52">
        <v>170</v>
      </c>
      <c r="L61" s="52"/>
      <c r="M61" s="52"/>
      <c r="N61" s="52">
        <v>1</v>
      </c>
      <c r="O61" s="52"/>
      <c r="P61" s="52"/>
      <c r="Q61" s="52">
        <v>1</v>
      </c>
      <c r="R61" s="52"/>
      <c r="S61" s="52"/>
      <c r="T61" s="52" t="s">
        <v>609</v>
      </c>
      <c r="U61" s="54">
        <v>1</v>
      </c>
      <c r="V61" s="10" t="s">
        <v>664</v>
      </c>
      <c r="W61" s="10" t="s">
        <v>719</v>
      </c>
    </row>
    <row r="62" spans="2:23" ht="16.8" x14ac:dyDescent="0.3">
      <c r="B62" s="21">
        <v>57</v>
      </c>
      <c r="C62" s="52" t="s">
        <v>132</v>
      </c>
      <c r="D62" s="52" t="s">
        <v>166</v>
      </c>
      <c r="E62" s="52" t="s">
        <v>627</v>
      </c>
      <c r="F62" s="52" t="s">
        <v>628</v>
      </c>
      <c r="G62" s="53">
        <v>105.10806420999999</v>
      </c>
      <c r="H62" s="53">
        <v>10.93478092</v>
      </c>
      <c r="I62" s="53">
        <v>105.10625329</v>
      </c>
      <c r="J62" s="53">
        <v>10.93326238</v>
      </c>
      <c r="K62" s="52">
        <v>280</v>
      </c>
      <c r="L62" s="52"/>
      <c r="M62" s="52"/>
      <c r="N62" s="52"/>
      <c r="O62" s="52"/>
      <c r="P62" s="52"/>
      <c r="Q62" s="52">
        <v>1</v>
      </c>
      <c r="R62" s="52"/>
      <c r="S62" s="52"/>
      <c r="T62" s="52" t="s">
        <v>609</v>
      </c>
      <c r="U62" s="54">
        <v>1</v>
      </c>
      <c r="V62" s="10" t="s">
        <v>664</v>
      </c>
      <c r="W62" s="10" t="s">
        <v>719</v>
      </c>
    </row>
    <row r="63" spans="2:23" ht="16.8" x14ac:dyDescent="0.3">
      <c r="B63" s="21">
        <v>58</v>
      </c>
      <c r="C63" s="52" t="s">
        <v>132</v>
      </c>
      <c r="D63" s="52" t="s">
        <v>166</v>
      </c>
      <c r="E63" s="52" t="s">
        <v>628</v>
      </c>
      <c r="F63" s="52" t="s">
        <v>629</v>
      </c>
      <c r="G63" s="53">
        <v>105.10625329</v>
      </c>
      <c r="H63" s="53">
        <v>10.93326238</v>
      </c>
      <c r="I63" s="53">
        <v>105.10487037999999</v>
      </c>
      <c r="J63" s="53">
        <v>10.93253472</v>
      </c>
      <c r="K63" s="52">
        <v>170</v>
      </c>
      <c r="L63" s="52"/>
      <c r="M63" s="52"/>
      <c r="N63" s="52"/>
      <c r="O63" s="52"/>
      <c r="P63" s="52"/>
      <c r="Q63" s="52">
        <v>1</v>
      </c>
      <c r="R63" s="52"/>
      <c r="S63" s="52"/>
      <c r="T63" s="52" t="s">
        <v>609</v>
      </c>
      <c r="U63" s="54">
        <v>1</v>
      </c>
      <c r="V63" s="10" t="s">
        <v>664</v>
      </c>
      <c r="W63" s="10" t="s">
        <v>719</v>
      </c>
    </row>
    <row r="64" spans="2:23" ht="16.8" x14ac:dyDescent="0.3">
      <c r="B64" s="21">
        <v>59</v>
      </c>
      <c r="C64" s="52" t="s">
        <v>132</v>
      </c>
      <c r="D64" s="52" t="s">
        <v>166</v>
      </c>
      <c r="E64" s="52" t="s">
        <v>629</v>
      </c>
      <c r="F64" s="52" t="s">
        <v>630</v>
      </c>
      <c r="G64" s="53">
        <v>105.10487037999999</v>
      </c>
      <c r="H64" s="53">
        <v>10.93253472</v>
      </c>
      <c r="I64" s="53">
        <v>105.10327857999999</v>
      </c>
      <c r="J64" s="53">
        <v>10.931575629999999</v>
      </c>
      <c r="K64" s="52">
        <v>210</v>
      </c>
      <c r="L64" s="52"/>
      <c r="M64" s="52"/>
      <c r="N64" s="52"/>
      <c r="O64" s="52"/>
      <c r="P64" s="52"/>
      <c r="Q64" s="52">
        <v>1</v>
      </c>
      <c r="R64" s="52"/>
      <c r="S64" s="52"/>
      <c r="T64" s="52" t="s">
        <v>609</v>
      </c>
      <c r="U64" s="54">
        <v>1</v>
      </c>
      <c r="V64" s="10" t="s">
        <v>664</v>
      </c>
      <c r="W64" s="10" t="s">
        <v>719</v>
      </c>
    </row>
    <row r="65" spans="2:23" ht="16.8" x14ac:dyDescent="0.3">
      <c r="B65" s="21">
        <v>60</v>
      </c>
      <c r="C65" s="52" t="s">
        <v>132</v>
      </c>
      <c r="D65" s="52" t="s">
        <v>166</v>
      </c>
      <c r="E65" s="52" t="s">
        <v>630</v>
      </c>
      <c r="F65" s="52" t="s">
        <v>631</v>
      </c>
      <c r="G65" s="53">
        <v>105.10327857999999</v>
      </c>
      <c r="H65" s="53">
        <v>10.931575629999999</v>
      </c>
      <c r="I65" s="53">
        <v>105.10236913999999</v>
      </c>
      <c r="J65" s="53">
        <v>10.93107406</v>
      </c>
      <c r="K65" s="52">
        <v>120</v>
      </c>
      <c r="L65" s="52"/>
      <c r="M65" s="52"/>
      <c r="N65" s="52">
        <v>1</v>
      </c>
      <c r="O65" s="52"/>
      <c r="P65" s="52"/>
      <c r="Q65" s="52">
        <v>1</v>
      </c>
      <c r="R65" s="52"/>
      <c r="S65" s="52"/>
      <c r="T65" s="52" t="s">
        <v>609</v>
      </c>
      <c r="U65" s="54">
        <v>1</v>
      </c>
      <c r="V65" s="10" t="s">
        <v>664</v>
      </c>
      <c r="W65" s="10" t="s">
        <v>719</v>
      </c>
    </row>
    <row r="66" spans="2:23" ht="16.8" x14ac:dyDescent="0.3">
      <c r="B66" s="21">
        <v>61</v>
      </c>
      <c r="C66" s="52" t="s">
        <v>132</v>
      </c>
      <c r="D66" s="52" t="s">
        <v>166</v>
      </c>
      <c r="E66" s="52" t="s">
        <v>631</v>
      </c>
      <c r="F66" s="52" t="s">
        <v>632</v>
      </c>
      <c r="G66" s="53">
        <v>105.10236913999999</v>
      </c>
      <c r="H66" s="53">
        <v>10.93107406</v>
      </c>
      <c r="I66" s="53">
        <v>105.10110385999999</v>
      </c>
      <c r="J66" s="53">
        <v>10.930376860000001</v>
      </c>
      <c r="K66" s="52">
        <v>170</v>
      </c>
      <c r="L66" s="52"/>
      <c r="M66" s="52"/>
      <c r="N66" s="52"/>
      <c r="O66" s="52"/>
      <c r="P66" s="52"/>
      <c r="Q66" s="52">
        <v>1</v>
      </c>
      <c r="R66" s="52"/>
      <c r="S66" s="52"/>
      <c r="T66" s="52" t="s">
        <v>609</v>
      </c>
      <c r="U66" s="54">
        <v>1</v>
      </c>
      <c r="V66" s="10" t="s">
        <v>664</v>
      </c>
      <c r="W66" s="10" t="s">
        <v>719</v>
      </c>
    </row>
    <row r="67" spans="2:23" ht="16.8" x14ac:dyDescent="0.3">
      <c r="B67" s="21">
        <v>62</v>
      </c>
      <c r="C67" s="52" t="s">
        <v>132</v>
      </c>
      <c r="D67" s="52" t="s">
        <v>166</v>
      </c>
      <c r="E67" s="52" t="s">
        <v>632</v>
      </c>
      <c r="F67" s="52" t="s">
        <v>633</v>
      </c>
      <c r="G67" s="53">
        <v>105.10110385999999</v>
      </c>
      <c r="H67" s="53">
        <v>10.930376860000001</v>
      </c>
      <c r="I67" s="53">
        <v>105.09975561</v>
      </c>
      <c r="J67" s="53">
        <v>10.929946729999999</v>
      </c>
      <c r="K67" s="52">
        <v>170</v>
      </c>
      <c r="L67" s="52"/>
      <c r="M67" s="52"/>
      <c r="N67" s="52"/>
      <c r="O67" s="52"/>
      <c r="P67" s="52"/>
      <c r="Q67" s="52">
        <v>1</v>
      </c>
      <c r="R67" s="52"/>
      <c r="S67" s="52"/>
      <c r="T67" s="52" t="s">
        <v>609</v>
      </c>
      <c r="U67" s="54">
        <v>1</v>
      </c>
      <c r="V67" s="10" t="s">
        <v>664</v>
      </c>
      <c r="W67" s="10" t="s">
        <v>719</v>
      </c>
    </row>
    <row r="68" spans="2:23" ht="16.8" x14ac:dyDescent="0.3">
      <c r="B68" s="21">
        <v>63</v>
      </c>
      <c r="C68" s="52" t="s">
        <v>132</v>
      </c>
      <c r="D68" s="52" t="s">
        <v>166</v>
      </c>
      <c r="E68" s="52" t="s">
        <v>633</v>
      </c>
      <c r="F68" s="52" t="s">
        <v>634</v>
      </c>
      <c r="G68" s="53">
        <v>105.09975561</v>
      </c>
      <c r="H68" s="53">
        <v>10.929946729999999</v>
      </c>
      <c r="I68" s="53">
        <v>105.09767226</v>
      </c>
      <c r="J68" s="53">
        <v>10.9293067</v>
      </c>
      <c r="K68" s="52">
        <v>250</v>
      </c>
      <c r="L68" s="52"/>
      <c r="M68" s="52"/>
      <c r="N68" s="52"/>
      <c r="O68" s="52"/>
      <c r="P68" s="52"/>
      <c r="Q68" s="52">
        <v>1</v>
      </c>
      <c r="R68" s="52"/>
      <c r="S68" s="52"/>
      <c r="T68" s="52" t="s">
        <v>609</v>
      </c>
      <c r="U68" s="54">
        <v>1</v>
      </c>
      <c r="V68" s="10" t="s">
        <v>664</v>
      </c>
      <c r="W68" s="10" t="s">
        <v>719</v>
      </c>
    </row>
    <row r="69" spans="2:23" ht="16.8" x14ac:dyDescent="0.3">
      <c r="B69" s="21">
        <v>64</v>
      </c>
      <c r="C69" s="52" t="s">
        <v>132</v>
      </c>
      <c r="D69" s="52" t="s">
        <v>166</v>
      </c>
      <c r="E69" s="52" t="s">
        <v>634</v>
      </c>
      <c r="F69" s="52" t="s">
        <v>635</v>
      </c>
      <c r="G69" s="53">
        <v>105.09767226</v>
      </c>
      <c r="H69" s="53">
        <v>10.9293067</v>
      </c>
      <c r="I69" s="53">
        <v>105.09766578999999</v>
      </c>
      <c r="J69" s="53">
        <v>10.929902670000001</v>
      </c>
      <c r="K69" s="52">
        <v>220</v>
      </c>
      <c r="L69" s="52"/>
      <c r="M69" s="52"/>
      <c r="N69" s="52">
        <v>1</v>
      </c>
      <c r="O69" s="52"/>
      <c r="P69" s="52"/>
      <c r="Q69" s="52">
        <v>1</v>
      </c>
      <c r="R69" s="52"/>
      <c r="S69" s="52"/>
      <c r="T69" s="52" t="s">
        <v>609</v>
      </c>
      <c r="U69" s="54">
        <v>1</v>
      </c>
      <c r="V69" s="10" t="s">
        <v>664</v>
      </c>
      <c r="W69" s="10" t="s">
        <v>719</v>
      </c>
    </row>
    <row r="70" spans="2:23" ht="16.8" x14ac:dyDescent="0.3">
      <c r="B70" s="21">
        <v>65</v>
      </c>
      <c r="C70" s="52" t="s">
        <v>132</v>
      </c>
      <c r="D70" s="52" t="s">
        <v>166</v>
      </c>
      <c r="E70" s="52" t="s">
        <v>635</v>
      </c>
      <c r="F70" s="52" t="s">
        <v>636</v>
      </c>
      <c r="G70" s="53">
        <v>105.09766578999999</v>
      </c>
      <c r="H70" s="53">
        <v>10.929902670000001</v>
      </c>
      <c r="I70" s="53">
        <v>105.09833188</v>
      </c>
      <c r="J70" s="53">
        <v>10.93047595</v>
      </c>
      <c r="K70" s="52">
        <v>110</v>
      </c>
      <c r="L70" s="52"/>
      <c r="M70" s="52"/>
      <c r="N70" s="52"/>
      <c r="O70" s="52"/>
      <c r="P70" s="52"/>
      <c r="Q70" s="52">
        <v>1</v>
      </c>
      <c r="R70" s="52"/>
      <c r="S70" s="52"/>
      <c r="T70" s="52" t="s">
        <v>609</v>
      </c>
      <c r="U70" s="54">
        <v>1</v>
      </c>
      <c r="V70" s="10" t="s">
        <v>664</v>
      </c>
      <c r="W70" s="10" t="s">
        <v>719</v>
      </c>
    </row>
    <row r="71" spans="2:23" ht="16.8" x14ac:dyDescent="0.3">
      <c r="B71" s="21">
        <v>66</v>
      </c>
      <c r="C71" s="52" t="s">
        <v>132</v>
      </c>
      <c r="D71" s="52" t="s">
        <v>166</v>
      </c>
      <c r="E71" s="52" t="s">
        <v>636</v>
      </c>
      <c r="F71" s="52" t="s">
        <v>637</v>
      </c>
      <c r="G71" s="53">
        <v>105.09833188</v>
      </c>
      <c r="H71" s="53">
        <v>10.93047595</v>
      </c>
      <c r="I71" s="53">
        <v>105.09887851000001</v>
      </c>
      <c r="J71" s="53">
        <v>10.9310106</v>
      </c>
      <c r="K71" s="52">
        <v>100</v>
      </c>
      <c r="L71" s="52"/>
      <c r="M71" s="52"/>
      <c r="N71" s="52"/>
      <c r="O71" s="52"/>
      <c r="P71" s="52"/>
      <c r="Q71" s="52">
        <v>1</v>
      </c>
      <c r="R71" s="52"/>
      <c r="S71" s="52"/>
      <c r="T71" s="52" t="s">
        <v>609</v>
      </c>
      <c r="U71" s="54">
        <v>1</v>
      </c>
      <c r="V71" s="10" t="s">
        <v>664</v>
      </c>
      <c r="W71" s="10" t="s">
        <v>719</v>
      </c>
    </row>
    <row r="72" spans="2:23" ht="16.8" x14ac:dyDescent="0.3">
      <c r="B72" s="21">
        <v>67</v>
      </c>
      <c r="C72" s="52" t="s">
        <v>132</v>
      </c>
      <c r="D72" s="52" t="s">
        <v>681</v>
      </c>
      <c r="E72" s="52" t="s">
        <v>682</v>
      </c>
      <c r="F72" s="52" t="s">
        <v>683</v>
      </c>
      <c r="G72" s="52">
        <v>105.08068900000001</v>
      </c>
      <c r="H72" s="52">
        <v>10.933616900000001</v>
      </c>
      <c r="I72" s="52">
        <v>105.08090799999999</v>
      </c>
      <c r="J72" s="52">
        <v>10.934850000000001</v>
      </c>
      <c r="K72" s="52">
        <v>250</v>
      </c>
      <c r="L72" s="52"/>
      <c r="M72" s="52"/>
      <c r="N72" s="52">
        <v>1</v>
      </c>
      <c r="O72" s="52"/>
      <c r="P72" s="52"/>
      <c r="Q72" s="52">
        <v>1</v>
      </c>
      <c r="R72" s="52"/>
      <c r="S72" s="52"/>
      <c r="T72" s="52" t="s">
        <v>684</v>
      </c>
      <c r="U72" s="54">
        <v>1</v>
      </c>
      <c r="V72" s="10" t="s">
        <v>664</v>
      </c>
      <c r="W72" s="10" t="s">
        <v>719</v>
      </c>
    </row>
    <row r="73" spans="2:23" ht="16.8" x14ac:dyDescent="0.3">
      <c r="B73" s="21">
        <v>68</v>
      </c>
      <c r="C73" s="52" t="s">
        <v>132</v>
      </c>
      <c r="D73" s="52" t="s">
        <v>681</v>
      </c>
      <c r="E73" s="52" t="s">
        <v>685</v>
      </c>
      <c r="F73" s="52" t="s">
        <v>686</v>
      </c>
      <c r="G73" s="52">
        <v>105.08090799999999</v>
      </c>
      <c r="H73" s="52">
        <v>10.934850000000001</v>
      </c>
      <c r="I73" s="52">
        <v>105.0811923</v>
      </c>
      <c r="J73" s="52">
        <v>10.936477</v>
      </c>
      <c r="K73" s="52">
        <v>200</v>
      </c>
      <c r="L73" s="52"/>
      <c r="M73" s="52"/>
      <c r="N73" s="52"/>
      <c r="O73" s="52"/>
      <c r="P73" s="52"/>
      <c r="Q73" s="52">
        <v>1</v>
      </c>
      <c r="R73" s="52"/>
      <c r="S73" s="52"/>
      <c r="T73" s="52" t="s">
        <v>684</v>
      </c>
      <c r="U73" s="54">
        <v>1</v>
      </c>
      <c r="V73" s="10" t="s">
        <v>664</v>
      </c>
      <c r="W73" s="10" t="s">
        <v>719</v>
      </c>
    </row>
    <row r="74" spans="2:23" ht="16.8" x14ac:dyDescent="0.3">
      <c r="B74" s="21">
        <v>69</v>
      </c>
      <c r="C74" s="52" t="s">
        <v>132</v>
      </c>
      <c r="D74" s="52" t="s">
        <v>681</v>
      </c>
      <c r="E74" s="52" t="s">
        <v>686</v>
      </c>
      <c r="F74" s="52" t="s">
        <v>687</v>
      </c>
      <c r="G74" s="52">
        <v>105.0811923</v>
      </c>
      <c r="H74" s="52">
        <v>10.936477</v>
      </c>
      <c r="I74" s="52">
        <v>105.08137600000001</v>
      </c>
      <c r="J74" s="52">
        <v>10.938145</v>
      </c>
      <c r="K74" s="52">
        <v>200</v>
      </c>
      <c r="L74" s="52"/>
      <c r="M74" s="52"/>
      <c r="N74" s="52"/>
      <c r="O74" s="52"/>
      <c r="P74" s="52"/>
      <c r="Q74" s="52">
        <v>1</v>
      </c>
      <c r="R74" s="52"/>
      <c r="S74" s="52"/>
      <c r="T74" s="52" t="s">
        <v>684</v>
      </c>
      <c r="U74" s="54">
        <v>1</v>
      </c>
      <c r="V74" s="10" t="s">
        <v>664</v>
      </c>
      <c r="W74" s="10" t="s">
        <v>719</v>
      </c>
    </row>
    <row r="75" spans="2:23" ht="16.8" x14ac:dyDescent="0.3">
      <c r="B75" s="21">
        <v>70</v>
      </c>
      <c r="C75" s="52" t="s">
        <v>132</v>
      </c>
      <c r="D75" s="52" t="s">
        <v>681</v>
      </c>
      <c r="E75" s="52" t="s">
        <v>687</v>
      </c>
      <c r="F75" s="52" t="s">
        <v>688</v>
      </c>
      <c r="G75" s="52">
        <v>105.08137600000001</v>
      </c>
      <c r="H75" s="52">
        <v>10.938145</v>
      </c>
      <c r="I75" s="52">
        <v>105.081475</v>
      </c>
      <c r="J75" s="52">
        <v>10.939852999999999</v>
      </c>
      <c r="K75" s="52">
        <v>200</v>
      </c>
      <c r="L75" s="52"/>
      <c r="M75" s="52"/>
      <c r="N75" s="52"/>
      <c r="O75" s="52"/>
      <c r="P75" s="52"/>
      <c r="Q75" s="52">
        <v>1</v>
      </c>
      <c r="R75" s="52"/>
      <c r="S75" s="52"/>
      <c r="T75" s="52" t="s">
        <v>684</v>
      </c>
      <c r="U75" s="54">
        <v>1</v>
      </c>
      <c r="V75" s="10" t="s">
        <v>664</v>
      </c>
      <c r="W75" s="10" t="s">
        <v>719</v>
      </c>
    </row>
    <row r="76" spans="2:23" ht="16.8" x14ac:dyDescent="0.3">
      <c r="B76" s="21">
        <v>71</v>
      </c>
      <c r="C76" s="52" t="s">
        <v>132</v>
      </c>
      <c r="D76" s="52" t="s">
        <v>681</v>
      </c>
      <c r="E76" s="52" t="s">
        <v>688</v>
      </c>
      <c r="F76" s="52" t="s">
        <v>689</v>
      </c>
      <c r="G76" s="52">
        <v>105.081475</v>
      </c>
      <c r="H76" s="52">
        <v>10.939852999999999</v>
      </c>
      <c r="I76" s="52">
        <v>105.081636</v>
      </c>
      <c r="J76" s="52">
        <v>10.941212</v>
      </c>
      <c r="K76" s="52">
        <v>200</v>
      </c>
      <c r="L76" s="52"/>
      <c r="M76" s="52"/>
      <c r="N76" s="52">
        <v>1</v>
      </c>
      <c r="O76" s="52"/>
      <c r="P76" s="52"/>
      <c r="Q76" s="52">
        <v>1</v>
      </c>
      <c r="R76" s="52"/>
      <c r="S76" s="52"/>
      <c r="T76" s="52" t="s">
        <v>684</v>
      </c>
      <c r="U76" s="54">
        <v>1</v>
      </c>
      <c r="V76" s="10" t="s">
        <v>664</v>
      </c>
      <c r="W76" s="10" t="s">
        <v>719</v>
      </c>
    </row>
    <row r="77" spans="2:23" ht="16.8" x14ac:dyDescent="0.3">
      <c r="B77" s="21">
        <v>72</v>
      </c>
      <c r="C77" s="52" t="s">
        <v>132</v>
      </c>
      <c r="D77" s="52" t="s">
        <v>681</v>
      </c>
      <c r="E77" s="52" t="s">
        <v>689</v>
      </c>
      <c r="F77" s="52" t="s">
        <v>690</v>
      </c>
      <c r="G77" s="52">
        <v>105.081636</v>
      </c>
      <c r="H77" s="52">
        <v>10.941212</v>
      </c>
      <c r="I77" s="52">
        <v>105.081655</v>
      </c>
      <c r="J77" s="52">
        <v>10.942195</v>
      </c>
      <c r="K77" s="52">
        <v>200</v>
      </c>
      <c r="L77" s="52"/>
      <c r="M77" s="52"/>
      <c r="N77" s="52"/>
      <c r="O77" s="52"/>
      <c r="P77" s="52"/>
      <c r="Q77" s="52">
        <v>1</v>
      </c>
      <c r="R77" s="52"/>
      <c r="S77" s="52"/>
      <c r="T77" s="52" t="s">
        <v>684</v>
      </c>
      <c r="U77" s="54">
        <v>1</v>
      </c>
      <c r="V77" s="10" t="s">
        <v>664</v>
      </c>
      <c r="W77" s="10" t="s">
        <v>719</v>
      </c>
    </row>
    <row r="78" spans="2:23" ht="16.8" x14ac:dyDescent="0.3">
      <c r="B78" s="21">
        <v>73</v>
      </c>
      <c r="C78" s="52" t="s">
        <v>132</v>
      </c>
      <c r="D78" s="52" t="s">
        <v>681</v>
      </c>
      <c r="E78" s="52" t="s">
        <v>690</v>
      </c>
      <c r="F78" s="52" t="s">
        <v>691</v>
      </c>
      <c r="G78" s="52">
        <v>105.081655</v>
      </c>
      <c r="H78" s="52">
        <v>10.942195</v>
      </c>
      <c r="I78" s="52">
        <v>105.08371099999999</v>
      </c>
      <c r="J78" s="52">
        <v>10.943421000000001</v>
      </c>
      <c r="K78" s="52">
        <v>400</v>
      </c>
      <c r="L78" s="52"/>
      <c r="M78" s="52"/>
      <c r="N78" s="52"/>
      <c r="O78" s="52"/>
      <c r="P78" s="52"/>
      <c r="Q78" s="52">
        <v>1</v>
      </c>
      <c r="R78" s="52"/>
      <c r="S78" s="52"/>
      <c r="T78" s="52" t="s">
        <v>684</v>
      </c>
      <c r="U78" s="54">
        <v>1</v>
      </c>
      <c r="V78" s="10" t="s">
        <v>664</v>
      </c>
      <c r="W78" s="10" t="s">
        <v>719</v>
      </c>
    </row>
    <row r="79" spans="2:23" ht="16.8" x14ac:dyDescent="0.3">
      <c r="B79" s="21">
        <v>74</v>
      </c>
      <c r="C79" s="52" t="s">
        <v>132</v>
      </c>
      <c r="D79" s="52" t="s">
        <v>681</v>
      </c>
      <c r="E79" s="52" t="s">
        <v>692</v>
      </c>
      <c r="F79" s="52" t="s">
        <v>693</v>
      </c>
      <c r="G79" s="52">
        <v>105.0927137</v>
      </c>
      <c r="H79" s="52">
        <v>10.929045</v>
      </c>
      <c r="I79" s="52">
        <v>105.0914068</v>
      </c>
      <c r="J79" s="52">
        <v>10.9293657</v>
      </c>
      <c r="K79" s="52">
        <v>200</v>
      </c>
      <c r="L79" s="52"/>
      <c r="M79" s="52"/>
      <c r="N79" s="52"/>
      <c r="O79" s="52"/>
      <c r="P79" s="52"/>
      <c r="Q79" s="52">
        <v>1</v>
      </c>
      <c r="R79" s="52"/>
      <c r="S79" s="52"/>
      <c r="T79" s="52" t="s">
        <v>694</v>
      </c>
      <c r="U79" s="54">
        <v>1</v>
      </c>
      <c r="V79" s="10" t="s">
        <v>664</v>
      </c>
      <c r="W79" s="10" t="s">
        <v>719</v>
      </c>
    </row>
    <row r="80" spans="2:23" ht="16.8" x14ac:dyDescent="0.3">
      <c r="B80" s="21">
        <v>75</v>
      </c>
      <c r="C80" s="52" t="s">
        <v>132</v>
      </c>
      <c r="D80" s="52" t="s">
        <v>681</v>
      </c>
      <c r="E80" s="52" t="s">
        <v>693</v>
      </c>
      <c r="F80" s="52" t="s">
        <v>695</v>
      </c>
      <c r="G80" s="52">
        <v>105.0914068</v>
      </c>
      <c r="H80" s="52">
        <v>10.9293657</v>
      </c>
      <c r="I80" s="52">
        <v>105.090146</v>
      </c>
      <c r="J80" s="52">
        <v>10.929138</v>
      </c>
      <c r="K80" s="52">
        <v>200</v>
      </c>
      <c r="L80" s="52"/>
      <c r="M80" s="52"/>
      <c r="N80" s="52">
        <v>1</v>
      </c>
      <c r="O80" s="52"/>
      <c r="P80" s="52"/>
      <c r="Q80" s="52">
        <v>1</v>
      </c>
      <c r="R80" s="52"/>
      <c r="S80" s="52"/>
      <c r="T80" s="52" t="s">
        <v>694</v>
      </c>
      <c r="U80" s="54">
        <v>1</v>
      </c>
      <c r="V80" s="10" t="s">
        <v>664</v>
      </c>
      <c r="W80" s="10" t="s">
        <v>719</v>
      </c>
    </row>
    <row r="81" spans="2:23" ht="16.8" x14ac:dyDescent="0.3">
      <c r="B81" s="21">
        <v>76</v>
      </c>
      <c r="C81" s="52" t="s">
        <v>132</v>
      </c>
      <c r="D81" s="52" t="s">
        <v>681</v>
      </c>
      <c r="E81" s="52" t="s">
        <v>695</v>
      </c>
      <c r="F81" s="52" t="s">
        <v>696</v>
      </c>
      <c r="G81" s="52">
        <v>105.090146</v>
      </c>
      <c r="H81" s="52">
        <v>10.929138</v>
      </c>
      <c r="I81" s="52">
        <v>105.08884999999999</v>
      </c>
      <c r="J81" s="52">
        <v>10.928895000000001</v>
      </c>
      <c r="K81" s="52">
        <v>200</v>
      </c>
      <c r="L81" s="52"/>
      <c r="M81" s="52"/>
      <c r="N81" s="52"/>
      <c r="O81" s="52"/>
      <c r="P81" s="52"/>
      <c r="Q81" s="52">
        <v>1</v>
      </c>
      <c r="R81" s="52"/>
      <c r="S81" s="52"/>
      <c r="T81" s="52" t="s">
        <v>694</v>
      </c>
      <c r="U81" s="54">
        <v>1</v>
      </c>
      <c r="V81" s="10" t="s">
        <v>664</v>
      </c>
      <c r="W81" s="10" t="s">
        <v>719</v>
      </c>
    </row>
    <row r="82" spans="2:23" ht="16.8" x14ac:dyDescent="0.3">
      <c r="B82" s="21">
        <v>77</v>
      </c>
      <c r="C82" s="52" t="s">
        <v>132</v>
      </c>
      <c r="D82" s="52" t="s">
        <v>681</v>
      </c>
      <c r="E82" s="52" t="s">
        <v>696</v>
      </c>
      <c r="F82" s="52" t="s">
        <v>697</v>
      </c>
      <c r="G82" s="52">
        <v>105.08884999999999</v>
      </c>
      <c r="H82" s="52">
        <v>10.928895000000001</v>
      </c>
      <c r="I82" s="52">
        <v>105.08718829999999</v>
      </c>
      <c r="J82" s="52">
        <v>10.9284891</v>
      </c>
      <c r="K82" s="52">
        <v>200</v>
      </c>
      <c r="L82" s="52"/>
      <c r="M82" s="52"/>
      <c r="N82" s="52"/>
      <c r="O82" s="52"/>
      <c r="P82" s="52"/>
      <c r="Q82" s="52">
        <v>1</v>
      </c>
      <c r="R82" s="52"/>
      <c r="S82" s="52"/>
      <c r="T82" s="52" t="s">
        <v>694</v>
      </c>
      <c r="U82" s="54">
        <v>1</v>
      </c>
      <c r="V82" s="10" t="s">
        <v>664</v>
      </c>
      <c r="W82" s="10" t="s">
        <v>719</v>
      </c>
    </row>
    <row r="83" spans="2:23" ht="16.8" x14ac:dyDescent="0.3">
      <c r="B83" s="21">
        <v>78</v>
      </c>
      <c r="C83" s="52" t="s">
        <v>132</v>
      </c>
      <c r="D83" s="52" t="s">
        <v>681</v>
      </c>
      <c r="E83" s="52" t="s">
        <v>697</v>
      </c>
      <c r="F83" s="52" t="s">
        <v>698</v>
      </c>
      <c r="G83" s="52">
        <v>105.08718829999999</v>
      </c>
      <c r="H83" s="52">
        <v>10.9284891</v>
      </c>
      <c r="I83" s="52">
        <v>105.0837514</v>
      </c>
      <c r="J83" s="52">
        <v>10.927800400000001</v>
      </c>
      <c r="K83" s="52">
        <v>200</v>
      </c>
      <c r="L83" s="52"/>
      <c r="M83" s="52"/>
      <c r="N83" s="52"/>
      <c r="O83" s="52"/>
      <c r="P83" s="52"/>
      <c r="Q83" s="52">
        <v>1</v>
      </c>
      <c r="R83" s="52"/>
      <c r="S83" s="52"/>
      <c r="T83" s="52" t="s">
        <v>694</v>
      </c>
      <c r="U83" s="54">
        <v>1</v>
      </c>
      <c r="V83" s="10" t="s">
        <v>664</v>
      </c>
      <c r="W83" s="10" t="s">
        <v>719</v>
      </c>
    </row>
    <row r="84" spans="2:23" ht="16.8" x14ac:dyDescent="0.3">
      <c r="B84" s="21">
        <v>79</v>
      </c>
      <c r="C84" s="52" t="s">
        <v>132</v>
      </c>
      <c r="D84" s="52" t="s">
        <v>681</v>
      </c>
      <c r="E84" s="52" t="s">
        <v>698</v>
      </c>
      <c r="F84" s="52" t="s">
        <v>699</v>
      </c>
      <c r="G84" s="52">
        <v>105.0837514</v>
      </c>
      <c r="H84" s="52">
        <v>10.927800400000001</v>
      </c>
      <c r="I84" s="52">
        <v>105.081925</v>
      </c>
      <c r="J84" s="52">
        <v>10.9275877</v>
      </c>
      <c r="K84" s="52">
        <v>200</v>
      </c>
      <c r="L84" s="52"/>
      <c r="M84" s="52"/>
      <c r="N84" s="52">
        <v>1</v>
      </c>
      <c r="O84" s="52"/>
      <c r="P84" s="52"/>
      <c r="Q84" s="52">
        <v>1</v>
      </c>
      <c r="R84" s="52"/>
      <c r="S84" s="52"/>
      <c r="T84" s="52" t="s">
        <v>694</v>
      </c>
      <c r="U84" s="54">
        <v>1</v>
      </c>
      <c r="V84" s="10" t="s">
        <v>664</v>
      </c>
      <c r="W84" s="10" t="s">
        <v>719</v>
      </c>
    </row>
    <row r="85" spans="2:23" ht="16.8" x14ac:dyDescent="0.3">
      <c r="B85" s="21">
        <v>80</v>
      </c>
      <c r="C85" s="52" t="s">
        <v>132</v>
      </c>
      <c r="D85" s="52" t="s">
        <v>700</v>
      </c>
      <c r="E85" s="52" t="s">
        <v>701</v>
      </c>
      <c r="F85" s="52" t="s">
        <v>702</v>
      </c>
      <c r="G85" s="52">
        <v>105117144</v>
      </c>
      <c r="H85" s="52">
        <v>10801513</v>
      </c>
      <c r="I85" s="52">
        <v>105115338</v>
      </c>
      <c r="J85" s="52">
        <v>10801988</v>
      </c>
      <c r="K85" s="52">
        <v>150</v>
      </c>
      <c r="L85" s="52"/>
      <c r="M85" s="52"/>
      <c r="N85" s="52">
        <v>1</v>
      </c>
      <c r="O85" s="52"/>
      <c r="P85" s="52"/>
      <c r="Q85" s="52">
        <v>1</v>
      </c>
      <c r="R85" s="52">
        <v>1</v>
      </c>
      <c r="S85" s="52"/>
      <c r="T85" s="52" t="s">
        <v>703</v>
      </c>
      <c r="U85" s="54">
        <v>1</v>
      </c>
      <c r="V85" s="10" t="s">
        <v>664</v>
      </c>
      <c r="W85" s="10" t="s">
        <v>719</v>
      </c>
    </row>
    <row r="86" spans="2:23" ht="16.8" x14ac:dyDescent="0.3">
      <c r="B86" s="21">
        <v>81</v>
      </c>
      <c r="C86" s="52" t="s">
        <v>132</v>
      </c>
      <c r="D86" s="52" t="s">
        <v>151</v>
      </c>
      <c r="E86" s="52" t="s">
        <v>704</v>
      </c>
      <c r="F86" s="52" t="s">
        <v>705</v>
      </c>
      <c r="G86" s="52">
        <v>105115338</v>
      </c>
      <c r="H86" s="52">
        <v>10801988</v>
      </c>
      <c r="I86" s="52">
        <v>105115817</v>
      </c>
      <c r="J86" s="52">
        <v>10803764</v>
      </c>
      <c r="K86" s="52">
        <v>300</v>
      </c>
      <c r="L86" s="52"/>
      <c r="M86" s="52"/>
      <c r="N86" s="52">
        <v>0</v>
      </c>
      <c r="O86" s="52"/>
      <c r="P86" s="52"/>
      <c r="Q86" s="52">
        <v>1</v>
      </c>
      <c r="R86" s="52"/>
      <c r="S86" s="52"/>
      <c r="T86" s="52" t="s">
        <v>703</v>
      </c>
      <c r="U86" s="54">
        <v>1</v>
      </c>
      <c r="V86" s="10" t="s">
        <v>664</v>
      </c>
      <c r="W86" s="10" t="s">
        <v>719</v>
      </c>
    </row>
    <row r="87" spans="2:23" ht="16.8" x14ac:dyDescent="0.3">
      <c r="B87" s="21">
        <v>82</v>
      </c>
      <c r="C87" s="52" t="s">
        <v>132</v>
      </c>
      <c r="D87" s="52" t="s">
        <v>706</v>
      </c>
      <c r="E87" s="52" t="s">
        <v>707</v>
      </c>
      <c r="F87" s="52" t="s">
        <v>708</v>
      </c>
      <c r="G87" s="52">
        <v>105115817</v>
      </c>
      <c r="H87" s="52">
        <v>10803764</v>
      </c>
      <c r="I87" s="52">
        <v>105118572</v>
      </c>
      <c r="J87" s="52">
        <v>10805546</v>
      </c>
      <c r="K87" s="52">
        <v>250</v>
      </c>
      <c r="L87" s="52"/>
      <c r="M87" s="52"/>
      <c r="N87" s="52">
        <v>0</v>
      </c>
      <c r="O87" s="52"/>
      <c r="P87" s="52"/>
      <c r="Q87" s="52">
        <v>1</v>
      </c>
      <c r="R87" s="52"/>
      <c r="S87" s="52"/>
      <c r="T87" s="52" t="s">
        <v>703</v>
      </c>
      <c r="U87" s="54">
        <v>1</v>
      </c>
      <c r="V87" s="10" t="s">
        <v>664</v>
      </c>
      <c r="W87" s="10" t="s">
        <v>719</v>
      </c>
    </row>
    <row r="88" spans="2:23" ht="16.8" x14ac:dyDescent="0.3">
      <c r="B88" s="21">
        <v>83</v>
      </c>
      <c r="C88" s="52" t="s">
        <v>132</v>
      </c>
      <c r="D88" s="52" t="s">
        <v>709</v>
      </c>
      <c r="E88" s="52" t="s">
        <v>708</v>
      </c>
      <c r="F88" s="52" t="s">
        <v>710</v>
      </c>
      <c r="G88" s="52">
        <v>105118572</v>
      </c>
      <c r="H88" s="52">
        <v>10805546</v>
      </c>
      <c r="I88" s="52">
        <v>105118678</v>
      </c>
      <c r="J88" s="52">
        <v>10805964</v>
      </c>
      <c r="K88" s="52">
        <v>200</v>
      </c>
      <c r="L88" s="52"/>
      <c r="M88" s="52"/>
      <c r="N88" s="52">
        <v>0</v>
      </c>
      <c r="O88" s="52"/>
      <c r="P88" s="52"/>
      <c r="Q88" s="52">
        <v>1</v>
      </c>
      <c r="R88" s="52"/>
      <c r="S88" s="52"/>
      <c r="T88" s="52" t="s">
        <v>703</v>
      </c>
      <c r="U88" s="54">
        <v>1</v>
      </c>
      <c r="V88" s="10" t="s">
        <v>664</v>
      </c>
      <c r="W88" s="10" t="s">
        <v>719</v>
      </c>
    </row>
    <row r="89" spans="2:23" ht="16.8" x14ac:dyDescent="0.3">
      <c r="B89" s="21">
        <v>84</v>
      </c>
      <c r="C89" s="52" t="s">
        <v>132</v>
      </c>
      <c r="D89" s="52" t="s">
        <v>711</v>
      </c>
      <c r="E89" s="52" t="s">
        <v>710</v>
      </c>
      <c r="F89" s="52" t="s">
        <v>712</v>
      </c>
      <c r="G89" s="52">
        <v>105118678</v>
      </c>
      <c r="H89" s="52">
        <v>10805964</v>
      </c>
      <c r="I89" s="52">
        <v>105119869</v>
      </c>
      <c r="J89" s="52">
        <v>10806726</v>
      </c>
      <c r="K89" s="52">
        <v>200</v>
      </c>
      <c r="L89" s="52"/>
      <c r="M89" s="52"/>
      <c r="N89" s="52">
        <v>1</v>
      </c>
      <c r="O89" s="52"/>
      <c r="P89" s="52"/>
      <c r="Q89" s="52">
        <v>1</v>
      </c>
      <c r="R89" s="52"/>
      <c r="S89" s="52"/>
      <c r="T89" s="52" t="s">
        <v>703</v>
      </c>
      <c r="U89" s="54">
        <v>1</v>
      </c>
      <c r="V89" s="10" t="s">
        <v>664</v>
      </c>
      <c r="W89" s="10" t="s">
        <v>719</v>
      </c>
    </row>
    <row r="90" spans="2:23" ht="16.8" x14ac:dyDescent="0.3">
      <c r="B90" s="21">
        <v>85</v>
      </c>
      <c r="C90" s="52" t="s">
        <v>132</v>
      </c>
      <c r="D90" s="52" t="s">
        <v>713</v>
      </c>
      <c r="E90" s="52" t="s">
        <v>712</v>
      </c>
      <c r="F90" s="52" t="s">
        <v>714</v>
      </c>
      <c r="G90" s="52">
        <v>105119869</v>
      </c>
      <c r="H90" s="52">
        <v>10806726</v>
      </c>
      <c r="I90" s="52">
        <v>105120460</v>
      </c>
      <c r="J90" s="52">
        <v>10807100</v>
      </c>
      <c r="K90" s="52">
        <v>200</v>
      </c>
      <c r="L90" s="52"/>
      <c r="M90" s="52"/>
      <c r="N90" s="52">
        <v>0</v>
      </c>
      <c r="O90" s="52"/>
      <c r="P90" s="52"/>
      <c r="Q90" s="52">
        <v>1</v>
      </c>
      <c r="R90" s="52"/>
      <c r="S90" s="52"/>
      <c r="T90" s="52" t="s">
        <v>703</v>
      </c>
      <c r="U90" s="54">
        <v>1</v>
      </c>
      <c r="V90" s="10" t="s">
        <v>664</v>
      </c>
      <c r="W90" s="10" t="s">
        <v>719</v>
      </c>
    </row>
    <row r="91" spans="2:23" ht="16.8" x14ac:dyDescent="0.3">
      <c r="B91" s="21">
        <v>86</v>
      </c>
      <c r="C91" s="52" t="s">
        <v>132</v>
      </c>
      <c r="D91" s="52" t="s">
        <v>715</v>
      </c>
      <c r="E91" s="52" t="s">
        <v>710</v>
      </c>
      <c r="F91" s="52" t="s">
        <v>716</v>
      </c>
      <c r="G91" s="52">
        <v>105118678</v>
      </c>
      <c r="H91" s="52">
        <v>10805964</v>
      </c>
      <c r="I91" s="52">
        <v>105117982</v>
      </c>
      <c r="J91" s="52">
        <v>10805591</v>
      </c>
      <c r="K91" s="52">
        <v>150</v>
      </c>
      <c r="L91" s="52"/>
      <c r="M91" s="52"/>
      <c r="N91" s="52">
        <v>0</v>
      </c>
      <c r="O91" s="52"/>
      <c r="P91" s="52"/>
      <c r="Q91" s="52">
        <v>1</v>
      </c>
      <c r="R91" s="52"/>
      <c r="S91" s="52"/>
      <c r="T91" s="52" t="s">
        <v>703</v>
      </c>
      <c r="U91" s="54">
        <v>1</v>
      </c>
      <c r="V91" s="10" t="s">
        <v>664</v>
      </c>
      <c r="W91" s="10" t="s">
        <v>719</v>
      </c>
    </row>
    <row r="92" spans="2:23" ht="16.8" x14ac:dyDescent="0.3">
      <c r="B92" s="21">
        <v>87</v>
      </c>
      <c r="C92" s="52" t="s">
        <v>132</v>
      </c>
      <c r="D92" s="52" t="s">
        <v>717</v>
      </c>
      <c r="E92" s="52" t="s">
        <v>716</v>
      </c>
      <c r="F92" s="52" t="s">
        <v>718</v>
      </c>
      <c r="G92" s="52">
        <v>105117982</v>
      </c>
      <c r="H92" s="52">
        <v>10805591</v>
      </c>
      <c r="I92" s="52">
        <v>105116748</v>
      </c>
      <c r="J92" s="52">
        <v>10804798</v>
      </c>
      <c r="K92" s="52">
        <v>150</v>
      </c>
      <c r="L92" s="52"/>
      <c r="M92" s="52"/>
      <c r="N92" s="52">
        <v>0</v>
      </c>
      <c r="O92" s="52"/>
      <c r="P92" s="52"/>
      <c r="Q92" s="52">
        <v>1</v>
      </c>
      <c r="R92" s="52"/>
      <c r="S92" s="52"/>
      <c r="T92" s="52" t="s">
        <v>703</v>
      </c>
      <c r="U92" s="54">
        <v>1</v>
      </c>
      <c r="V92" s="10" t="s">
        <v>664</v>
      </c>
      <c r="W92" s="10" t="s">
        <v>719</v>
      </c>
    </row>
  </sheetData>
  <autoFilter ref="A5:U71" xr:uid="{C6A8FF77-8489-4F8D-9FFB-EA51FFC787CF}"/>
  <mergeCells count="16">
    <mergeCell ref="V4:W4"/>
    <mergeCell ref="B3:H3"/>
    <mergeCell ref="I3:J3"/>
    <mergeCell ref="B1:U1"/>
    <mergeCell ref="B2:H2"/>
    <mergeCell ref="I2:J2"/>
    <mergeCell ref="S4:S5"/>
    <mergeCell ref="T4:T5"/>
    <mergeCell ref="U4:U5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75:U348 U6:U73" xr:uid="{A5CBB56A-CCAB-4C7F-8CB7-F4B0C1D96978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40D5-4AC0-4692-BFD3-035EEDBC41B7}">
  <sheetPr>
    <tabColor rgb="FF00B0F0"/>
  </sheetPr>
  <dimension ref="A1:W65"/>
  <sheetViews>
    <sheetView topLeftCell="E22" zoomScale="77" zoomScaleNormal="77" workbookViewId="0">
      <selection activeCell="M34" sqref="M34"/>
    </sheetView>
  </sheetViews>
  <sheetFormatPr defaultRowHeight="14.4" x14ac:dyDescent="0.3"/>
  <cols>
    <col min="1" max="1" width="68.33203125" hidden="1" customWidth="1"/>
    <col min="2" max="2" width="5.88671875" bestFit="1" customWidth="1"/>
    <col min="3" max="3" width="10.44140625" customWidth="1"/>
    <col min="4" max="4" width="15.44140625" bestFit="1" customWidth="1"/>
    <col min="5" max="5" width="45.88671875" customWidth="1"/>
    <col min="6" max="6" width="41.33203125" customWidth="1"/>
    <col min="7" max="10" width="14.6640625" style="7" bestFit="1" customWidth="1"/>
    <col min="11" max="11" width="18.44140625" customWidth="1"/>
    <col min="12" max="13" width="12.77734375" customWidth="1"/>
    <col min="14" max="14" width="7.88671875" bestFit="1" customWidth="1"/>
    <col min="15" max="15" width="7.88671875" customWidth="1"/>
    <col min="16" max="16" width="8.44140625" bestFit="1" customWidth="1"/>
    <col min="17" max="17" width="9.6640625" bestFit="1" customWidth="1"/>
    <col min="18" max="18" width="6.33203125" bestFit="1" customWidth="1"/>
    <col min="19" max="20" width="32.33203125" customWidth="1"/>
    <col min="21" max="21" width="16.77734375" customWidth="1"/>
    <col min="23" max="23" width="29.109375" bestFit="1" customWidth="1"/>
  </cols>
  <sheetData>
    <row r="1" spans="1:23" ht="46.2" customHeight="1" x14ac:dyDescent="0.3">
      <c r="A1" s="19"/>
      <c r="B1" s="101" t="s">
        <v>68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3" ht="16.8" x14ac:dyDescent="0.3">
      <c r="A2" s="19"/>
      <c r="B2" s="102"/>
      <c r="C2" s="102"/>
      <c r="D2" s="102"/>
      <c r="E2" s="102"/>
      <c r="F2" s="102"/>
      <c r="G2" s="102"/>
      <c r="H2" s="102"/>
      <c r="I2" s="103"/>
      <c r="J2" s="103"/>
      <c r="K2" s="29"/>
      <c r="L2" s="29"/>
      <c r="M2" s="29"/>
      <c r="N2" s="29"/>
      <c r="O2" s="29"/>
      <c r="P2" s="29"/>
      <c r="Q2" s="29"/>
      <c r="R2" s="29"/>
      <c r="S2" s="22"/>
      <c r="T2" s="22"/>
    </row>
    <row r="3" spans="1:23" ht="16.8" x14ac:dyDescent="0.3">
      <c r="A3" s="19"/>
      <c r="B3" s="105" t="s">
        <v>74</v>
      </c>
      <c r="C3" s="105"/>
      <c r="D3" s="105"/>
      <c r="E3" s="105"/>
      <c r="F3" s="105"/>
      <c r="G3" s="105"/>
      <c r="H3" s="105"/>
      <c r="I3" s="104" t="s">
        <v>196</v>
      </c>
      <c r="J3" s="104"/>
      <c r="K3" s="25">
        <f t="shared" ref="K3:R3" ca="1" si="0">SUMIF($C$6:$C$4281,"Châu Đốc",K6:K4280)</f>
        <v>12000</v>
      </c>
      <c r="L3" s="25">
        <f t="shared" ca="1" si="0"/>
        <v>0</v>
      </c>
      <c r="M3" s="25">
        <f t="shared" ca="1" si="0"/>
        <v>0</v>
      </c>
      <c r="N3" s="25">
        <f t="shared" ca="1" si="0"/>
        <v>16</v>
      </c>
      <c r="O3" s="25">
        <f t="shared" ca="1" si="0"/>
        <v>0</v>
      </c>
      <c r="P3" s="25">
        <f t="shared" ca="1" si="0"/>
        <v>0</v>
      </c>
      <c r="Q3" s="25">
        <f t="shared" ca="1" si="0"/>
        <v>60</v>
      </c>
      <c r="R3" s="25">
        <f t="shared" ca="1" si="0"/>
        <v>4</v>
      </c>
      <c r="S3" s="22"/>
      <c r="T3" s="22"/>
    </row>
    <row r="4" spans="1:23" ht="42.6" customHeight="1" x14ac:dyDescent="0.3">
      <c r="A4" s="18" t="s">
        <v>6</v>
      </c>
      <c r="B4" s="94" t="s">
        <v>3</v>
      </c>
      <c r="C4" s="94" t="s">
        <v>7</v>
      </c>
      <c r="D4" s="94" t="s">
        <v>8</v>
      </c>
      <c r="E4" s="94" t="s">
        <v>9</v>
      </c>
      <c r="F4" s="94" t="s">
        <v>10</v>
      </c>
      <c r="G4" s="94" t="s">
        <v>65</v>
      </c>
      <c r="H4" s="94"/>
      <c r="I4" s="94" t="s">
        <v>66</v>
      </c>
      <c r="J4" s="94"/>
      <c r="K4" s="23" t="s">
        <v>69</v>
      </c>
      <c r="L4" s="23" t="s">
        <v>70</v>
      </c>
      <c r="M4" s="23" t="s">
        <v>71</v>
      </c>
      <c r="N4" s="23" t="s">
        <v>13</v>
      </c>
      <c r="O4" s="23" t="s">
        <v>72</v>
      </c>
      <c r="P4" s="23" t="s">
        <v>73</v>
      </c>
      <c r="Q4" s="23" t="s">
        <v>14</v>
      </c>
      <c r="R4" s="23" t="s">
        <v>15</v>
      </c>
      <c r="S4" s="94" t="s">
        <v>0</v>
      </c>
      <c r="T4" s="96" t="s">
        <v>67</v>
      </c>
      <c r="U4" s="106" t="s">
        <v>606</v>
      </c>
      <c r="V4" s="93" t="s">
        <v>661</v>
      </c>
      <c r="W4" s="93"/>
    </row>
    <row r="5" spans="1:23" ht="16.8" x14ac:dyDescent="0.3">
      <c r="A5" s="18"/>
      <c r="B5" s="95"/>
      <c r="C5" s="95"/>
      <c r="D5" s="95"/>
      <c r="E5" s="95"/>
      <c r="F5" s="95"/>
      <c r="G5" s="9" t="s">
        <v>11</v>
      </c>
      <c r="H5" s="9" t="s">
        <v>12</v>
      </c>
      <c r="I5" s="9" t="s">
        <v>11</v>
      </c>
      <c r="J5" s="9" t="s">
        <v>12</v>
      </c>
      <c r="K5" s="4">
        <f>SUBTOTAL(9,K6:K3933)</f>
        <v>12000</v>
      </c>
      <c r="L5" s="4">
        <f t="shared" ref="L5:R5" si="1">SUBTOTAL(9,L6:L3933)</f>
        <v>0</v>
      </c>
      <c r="M5" s="4">
        <f t="shared" si="1"/>
        <v>0</v>
      </c>
      <c r="N5" s="4">
        <f t="shared" si="1"/>
        <v>16</v>
      </c>
      <c r="O5" s="4">
        <f t="shared" si="1"/>
        <v>0</v>
      </c>
      <c r="P5" s="4">
        <f t="shared" si="1"/>
        <v>0</v>
      </c>
      <c r="Q5" s="4">
        <f t="shared" si="1"/>
        <v>60</v>
      </c>
      <c r="R5" s="4">
        <f t="shared" si="1"/>
        <v>4</v>
      </c>
      <c r="S5" s="95"/>
      <c r="T5" s="97"/>
      <c r="U5" s="106"/>
      <c r="V5" s="59" t="s">
        <v>662</v>
      </c>
      <c r="W5" s="59" t="s">
        <v>663</v>
      </c>
    </row>
    <row r="6" spans="1:23" ht="16.8" x14ac:dyDescent="0.3">
      <c r="A6" s="19" t="s">
        <v>16</v>
      </c>
      <c r="B6" s="21">
        <v>1</v>
      </c>
      <c r="C6" s="63" t="s">
        <v>75</v>
      </c>
      <c r="D6" s="66" t="s">
        <v>76</v>
      </c>
      <c r="E6" s="63" t="s">
        <v>77</v>
      </c>
      <c r="F6" s="63" t="s">
        <v>78</v>
      </c>
      <c r="G6" s="62">
        <v>105.13024900000001</v>
      </c>
      <c r="H6" s="62">
        <v>10.681279</v>
      </c>
      <c r="I6" s="62">
        <v>105.130593</v>
      </c>
      <c r="J6" s="62">
        <v>10.6808</v>
      </c>
      <c r="K6" s="63">
        <v>150</v>
      </c>
      <c r="L6" s="63"/>
      <c r="M6" s="16"/>
      <c r="N6" s="63"/>
      <c r="O6" s="16"/>
      <c r="P6" s="63"/>
      <c r="Q6" s="63">
        <v>1</v>
      </c>
      <c r="R6" s="63">
        <v>1</v>
      </c>
      <c r="S6" s="63"/>
      <c r="T6" s="67" t="s">
        <v>57</v>
      </c>
      <c r="U6" s="68">
        <v>1</v>
      </c>
      <c r="V6" s="10" t="s">
        <v>664</v>
      </c>
      <c r="W6" s="10" t="s">
        <v>738</v>
      </c>
    </row>
    <row r="7" spans="1:23" ht="16.8" x14ac:dyDescent="0.3">
      <c r="A7" s="19" t="s">
        <v>17</v>
      </c>
      <c r="B7" s="21">
        <v>2</v>
      </c>
      <c r="C7" s="3" t="s">
        <v>75</v>
      </c>
      <c r="D7" s="26" t="s">
        <v>76</v>
      </c>
      <c r="E7" s="3" t="s">
        <v>78</v>
      </c>
      <c r="F7" s="3" t="s">
        <v>79</v>
      </c>
      <c r="G7" s="5">
        <v>105.130593</v>
      </c>
      <c r="H7" s="5">
        <v>10.6808</v>
      </c>
      <c r="I7" s="5">
        <v>105.131722</v>
      </c>
      <c r="J7" s="5">
        <v>10.679643</v>
      </c>
      <c r="K7" s="3">
        <v>200</v>
      </c>
      <c r="L7" s="3"/>
      <c r="M7" s="13"/>
      <c r="N7" s="3">
        <v>1</v>
      </c>
      <c r="O7" s="13"/>
      <c r="P7" s="3"/>
      <c r="Q7" s="3">
        <v>1</v>
      </c>
      <c r="R7" s="3"/>
      <c r="S7" s="3"/>
      <c r="T7" s="1" t="s">
        <v>57</v>
      </c>
      <c r="U7" s="10">
        <v>1</v>
      </c>
      <c r="V7" s="10" t="s">
        <v>664</v>
      </c>
      <c r="W7" s="10" t="s">
        <v>738</v>
      </c>
    </row>
    <row r="8" spans="1:23" ht="16.8" x14ac:dyDescent="0.3">
      <c r="A8" s="19" t="s">
        <v>17</v>
      </c>
      <c r="B8" s="21">
        <v>3</v>
      </c>
      <c r="C8" s="3" t="s">
        <v>75</v>
      </c>
      <c r="D8" s="26" t="s">
        <v>76</v>
      </c>
      <c r="E8" s="3" t="s">
        <v>79</v>
      </c>
      <c r="F8" s="3" t="s">
        <v>80</v>
      </c>
      <c r="G8" s="5">
        <v>105.131722</v>
      </c>
      <c r="H8" s="5">
        <v>10.679643</v>
      </c>
      <c r="I8" s="5">
        <v>105.132873</v>
      </c>
      <c r="J8" s="5">
        <v>10.678466</v>
      </c>
      <c r="K8" s="3">
        <v>200</v>
      </c>
      <c r="L8" s="3"/>
      <c r="M8" s="13"/>
      <c r="N8" s="3"/>
      <c r="O8" s="13"/>
      <c r="P8" s="3"/>
      <c r="Q8" s="3">
        <v>1</v>
      </c>
      <c r="R8" s="3"/>
      <c r="S8" s="3"/>
      <c r="T8" s="1" t="s">
        <v>57</v>
      </c>
      <c r="U8" s="10">
        <v>1</v>
      </c>
      <c r="V8" s="10" t="s">
        <v>664</v>
      </c>
      <c r="W8" s="10" t="s">
        <v>738</v>
      </c>
    </row>
    <row r="9" spans="1:23" ht="16.8" x14ac:dyDescent="0.3">
      <c r="A9" s="19" t="s">
        <v>17</v>
      </c>
      <c r="B9" s="21">
        <v>4</v>
      </c>
      <c r="C9" s="3" t="s">
        <v>75</v>
      </c>
      <c r="D9" s="26" t="s">
        <v>76</v>
      </c>
      <c r="E9" s="3" t="s">
        <v>80</v>
      </c>
      <c r="F9" s="3" t="s">
        <v>81</v>
      </c>
      <c r="G9" s="5">
        <v>105.132873</v>
      </c>
      <c r="H9" s="5">
        <v>10.678466</v>
      </c>
      <c r="I9" s="5">
        <v>105.1337</v>
      </c>
      <c r="J9" s="5">
        <v>10.677602</v>
      </c>
      <c r="K9" s="3">
        <v>150</v>
      </c>
      <c r="L9" s="3"/>
      <c r="M9" s="13"/>
      <c r="N9" s="3"/>
      <c r="O9" s="13"/>
      <c r="P9" s="3"/>
      <c r="Q9" s="3">
        <v>1</v>
      </c>
      <c r="R9" s="3"/>
      <c r="S9" s="3"/>
      <c r="T9" s="1" t="s">
        <v>57</v>
      </c>
      <c r="U9" s="10">
        <v>1</v>
      </c>
      <c r="V9" s="10" t="s">
        <v>664</v>
      </c>
      <c r="W9" s="10" t="s">
        <v>738</v>
      </c>
    </row>
    <row r="10" spans="1:23" ht="16.8" x14ac:dyDescent="0.3">
      <c r="A10" s="19" t="s">
        <v>17</v>
      </c>
      <c r="B10" s="21">
        <v>5</v>
      </c>
      <c r="C10" s="3" t="s">
        <v>75</v>
      </c>
      <c r="D10" s="26" t="s">
        <v>76</v>
      </c>
      <c r="E10" s="3" t="s">
        <v>81</v>
      </c>
      <c r="F10" s="3" t="s">
        <v>82</v>
      </c>
      <c r="G10" s="5">
        <v>105.1337</v>
      </c>
      <c r="H10" s="5">
        <v>10.677602</v>
      </c>
      <c r="I10" s="5">
        <v>105.135131</v>
      </c>
      <c r="J10" s="5">
        <v>10.676124</v>
      </c>
      <c r="K10" s="3">
        <v>250</v>
      </c>
      <c r="L10" s="3"/>
      <c r="M10" s="13"/>
      <c r="N10" s="3"/>
      <c r="O10" s="13"/>
      <c r="P10" s="3"/>
      <c r="Q10" s="3">
        <v>1</v>
      </c>
      <c r="R10" s="3"/>
      <c r="S10" s="3"/>
      <c r="T10" s="1" t="s">
        <v>57</v>
      </c>
      <c r="U10" s="10">
        <v>1</v>
      </c>
      <c r="V10" s="10" t="s">
        <v>664</v>
      </c>
      <c r="W10" s="10" t="s">
        <v>738</v>
      </c>
    </row>
    <row r="11" spans="1:23" ht="16.8" x14ac:dyDescent="0.3">
      <c r="A11" s="19" t="s">
        <v>17</v>
      </c>
      <c r="B11" s="21">
        <v>6</v>
      </c>
      <c r="C11" s="3" t="s">
        <v>75</v>
      </c>
      <c r="D11" s="26" t="s">
        <v>76</v>
      </c>
      <c r="E11" s="3" t="s">
        <v>82</v>
      </c>
      <c r="F11" s="3" t="s">
        <v>83</v>
      </c>
      <c r="G11" s="5">
        <v>105.135131</v>
      </c>
      <c r="H11" s="5">
        <v>10.676124</v>
      </c>
      <c r="I11" s="5">
        <v>105.136306</v>
      </c>
      <c r="J11" s="5">
        <v>10.674994</v>
      </c>
      <c r="K11" s="3">
        <v>200</v>
      </c>
      <c r="L11" s="3"/>
      <c r="M11" s="13"/>
      <c r="N11" s="3">
        <v>1</v>
      </c>
      <c r="O11" s="13"/>
      <c r="P11" s="3"/>
      <c r="Q11" s="3">
        <v>1</v>
      </c>
      <c r="R11" s="3"/>
      <c r="S11" s="3"/>
      <c r="T11" s="1" t="s">
        <v>57</v>
      </c>
      <c r="U11" s="10">
        <v>1</v>
      </c>
      <c r="V11" s="10" t="s">
        <v>664</v>
      </c>
      <c r="W11" s="10" t="s">
        <v>738</v>
      </c>
    </row>
    <row r="12" spans="1:23" ht="16.8" x14ac:dyDescent="0.3">
      <c r="A12" s="19" t="s">
        <v>17</v>
      </c>
      <c r="B12" s="21">
        <v>7</v>
      </c>
      <c r="C12" s="3" t="s">
        <v>75</v>
      </c>
      <c r="D12" s="26" t="s">
        <v>76</v>
      </c>
      <c r="E12" s="3" t="s">
        <v>83</v>
      </c>
      <c r="F12" s="3" t="s">
        <v>84</v>
      </c>
      <c r="G12" s="5">
        <v>105.136306</v>
      </c>
      <c r="H12" s="5">
        <v>10.674994</v>
      </c>
      <c r="I12" s="5">
        <v>105.137952</v>
      </c>
      <c r="J12" s="5">
        <v>10.673202</v>
      </c>
      <c r="K12" s="3">
        <v>200</v>
      </c>
      <c r="L12" s="3"/>
      <c r="M12" s="13"/>
      <c r="N12" s="3"/>
      <c r="O12" s="13"/>
      <c r="P12" s="3"/>
      <c r="Q12" s="3">
        <v>1</v>
      </c>
      <c r="R12" s="3"/>
      <c r="S12" s="3"/>
      <c r="T12" s="1" t="s">
        <v>57</v>
      </c>
      <c r="U12" s="10">
        <v>1</v>
      </c>
      <c r="V12" s="10" t="s">
        <v>664</v>
      </c>
      <c r="W12" s="10" t="s">
        <v>738</v>
      </c>
    </row>
    <row r="13" spans="1:23" ht="16.8" x14ac:dyDescent="0.3">
      <c r="A13" s="19" t="s">
        <v>17</v>
      </c>
      <c r="B13" s="21">
        <v>8</v>
      </c>
      <c r="C13" s="3" t="s">
        <v>75</v>
      </c>
      <c r="D13" s="26" t="s">
        <v>76</v>
      </c>
      <c r="E13" s="3" t="s">
        <v>84</v>
      </c>
      <c r="F13" s="3" t="s">
        <v>85</v>
      </c>
      <c r="G13" s="5">
        <v>105.137952</v>
      </c>
      <c r="H13" s="5">
        <v>10.673202</v>
      </c>
      <c r="I13" s="5">
        <v>105.13751499999999</v>
      </c>
      <c r="J13" s="5">
        <v>10.671537000000001</v>
      </c>
      <c r="K13" s="3">
        <v>300</v>
      </c>
      <c r="L13" s="3"/>
      <c r="M13" s="13"/>
      <c r="N13" s="3"/>
      <c r="O13" s="13"/>
      <c r="P13" s="3"/>
      <c r="Q13" s="3">
        <v>1</v>
      </c>
      <c r="R13" s="3"/>
      <c r="S13" s="3"/>
      <c r="T13" s="1" t="s">
        <v>57</v>
      </c>
      <c r="U13" s="10">
        <v>1</v>
      </c>
      <c r="V13" s="10" t="s">
        <v>664</v>
      </c>
      <c r="W13" s="10" t="s">
        <v>738</v>
      </c>
    </row>
    <row r="14" spans="1:23" ht="16.8" x14ac:dyDescent="0.3">
      <c r="A14" s="19" t="s">
        <v>17</v>
      </c>
      <c r="B14" s="21">
        <v>9</v>
      </c>
      <c r="C14" s="3" t="s">
        <v>75</v>
      </c>
      <c r="D14" s="26" t="s">
        <v>76</v>
      </c>
      <c r="E14" s="3" t="s">
        <v>85</v>
      </c>
      <c r="F14" s="3" t="s">
        <v>86</v>
      </c>
      <c r="G14" s="5">
        <v>105.13751499999999</v>
      </c>
      <c r="H14" s="5">
        <v>10.671537000000001</v>
      </c>
      <c r="I14" s="5">
        <v>105.13756100000001</v>
      </c>
      <c r="J14" s="5">
        <v>10.67084</v>
      </c>
      <c r="K14" s="3">
        <v>200</v>
      </c>
      <c r="L14" s="3"/>
      <c r="M14" s="13"/>
      <c r="N14" s="3"/>
      <c r="O14" s="13"/>
      <c r="P14" s="3"/>
      <c r="Q14" s="3">
        <v>1</v>
      </c>
      <c r="R14" s="3"/>
      <c r="S14" s="3"/>
      <c r="T14" s="1" t="s">
        <v>58</v>
      </c>
      <c r="U14" s="10">
        <v>1</v>
      </c>
      <c r="V14" s="10" t="s">
        <v>664</v>
      </c>
      <c r="W14" s="10" t="s">
        <v>738</v>
      </c>
    </row>
    <row r="15" spans="1:23" ht="16.8" x14ac:dyDescent="0.3">
      <c r="A15" s="19" t="s">
        <v>17</v>
      </c>
      <c r="B15" s="21">
        <v>10</v>
      </c>
      <c r="C15" s="3" t="s">
        <v>75</v>
      </c>
      <c r="D15" s="26" t="s">
        <v>76</v>
      </c>
      <c r="E15" s="3" t="s">
        <v>86</v>
      </c>
      <c r="F15" s="3" t="s">
        <v>87</v>
      </c>
      <c r="G15" s="5">
        <v>105.13756100000001</v>
      </c>
      <c r="H15" s="5">
        <v>10.67084</v>
      </c>
      <c r="I15" s="5">
        <v>105.13871399999999</v>
      </c>
      <c r="J15" s="5">
        <v>10.672108</v>
      </c>
      <c r="K15" s="3">
        <v>200</v>
      </c>
      <c r="L15" s="3"/>
      <c r="M15" s="13"/>
      <c r="N15" s="3">
        <v>1</v>
      </c>
      <c r="O15" s="13"/>
      <c r="P15" s="3"/>
      <c r="Q15" s="3">
        <v>1</v>
      </c>
      <c r="R15" s="3"/>
      <c r="S15" s="3"/>
      <c r="T15" s="1" t="s">
        <v>58</v>
      </c>
      <c r="U15" s="10">
        <v>1</v>
      </c>
      <c r="V15" s="10" t="s">
        <v>664</v>
      </c>
      <c r="W15" s="10" t="s">
        <v>738</v>
      </c>
    </row>
    <row r="16" spans="1:23" ht="16.8" x14ac:dyDescent="0.3">
      <c r="A16" s="19" t="s">
        <v>18</v>
      </c>
      <c r="B16" s="21">
        <v>11</v>
      </c>
      <c r="C16" s="3" t="s">
        <v>75</v>
      </c>
      <c r="D16" s="26" t="s">
        <v>76</v>
      </c>
      <c r="E16" s="3" t="s">
        <v>86</v>
      </c>
      <c r="F16" s="3" t="s">
        <v>88</v>
      </c>
      <c r="G16" s="5">
        <v>105.13756100000001</v>
      </c>
      <c r="H16" s="5">
        <v>10.67084</v>
      </c>
      <c r="I16" s="5">
        <v>105.135054</v>
      </c>
      <c r="J16" s="5">
        <v>10.668359000000001</v>
      </c>
      <c r="K16" s="3">
        <v>400</v>
      </c>
      <c r="L16" s="3"/>
      <c r="M16" s="13"/>
      <c r="N16" s="3"/>
      <c r="O16" s="13"/>
      <c r="P16" s="3"/>
      <c r="Q16" s="3">
        <v>1</v>
      </c>
      <c r="R16" s="3"/>
      <c r="S16" s="3"/>
      <c r="T16" s="1" t="s">
        <v>58</v>
      </c>
      <c r="U16" s="10">
        <v>1</v>
      </c>
      <c r="V16" s="10" t="s">
        <v>664</v>
      </c>
      <c r="W16" s="10" t="s">
        <v>738</v>
      </c>
    </row>
    <row r="17" spans="1:23" ht="16.8" x14ac:dyDescent="0.3">
      <c r="A17" s="19" t="s">
        <v>18</v>
      </c>
      <c r="B17" s="21">
        <v>12</v>
      </c>
      <c r="C17" s="3" t="s">
        <v>75</v>
      </c>
      <c r="D17" s="26" t="s">
        <v>76</v>
      </c>
      <c r="E17" s="3" t="s">
        <v>88</v>
      </c>
      <c r="F17" s="3" t="s">
        <v>89</v>
      </c>
      <c r="G17" s="5">
        <v>105.135054</v>
      </c>
      <c r="H17" s="5">
        <v>10.668359000000001</v>
      </c>
      <c r="I17" s="5">
        <v>105.13397500000001</v>
      </c>
      <c r="J17" s="5">
        <v>10.66728</v>
      </c>
      <c r="K17" s="3">
        <v>200</v>
      </c>
      <c r="L17" s="3"/>
      <c r="M17" s="13"/>
      <c r="N17" s="3"/>
      <c r="O17" s="13"/>
      <c r="P17" s="3"/>
      <c r="Q17" s="3">
        <v>1</v>
      </c>
      <c r="R17" s="3"/>
      <c r="S17" s="3"/>
      <c r="T17" s="1" t="s">
        <v>58</v>
      </c>
      <c r="U17" s="10">
        <v>1</v>
      </c>
      <c r="V17" s="10" t="s">
        <v>664</v>
      </c>
      <c r="W17" s="10" t="s">
        <v>738</v>
      </c>
    </row>
    <row r="18" spans="1:23" ht="16.8" x14ac:dyDescent="0.3">
      <c r="A18" s="19" t="s">
        <v>18</v>
      </c>
      <c r="B18" s="21">
        <v>13</v>
      </c>
      <c r="C18" s="3" t="s">
        <v>75</v>
      </c>
      <c r="D18" s="26" t="s">
        <v>76</v>
      </c>
      <c r="E18" s="3" t="s">
        <v>89</v>
      </c>
      <c r="F18" s="3" t="s">
        <v>90</v>
      </c>
      <c r="G18" s="5">
        <v>105.13397500000001</v>
      </c>
      <c r="H18" s="5">
        <v>10.66728</v>
      </c>
      <c r="I18" s="5">
        <v>105.13311</v>
      </c>
      <c r="J18" s="5">
        <v>10.666397999999999</v>
      </c>
      <c r="K18" s="3">
        <v>150</v>
      </c>
      <c r="L18" s="3"/>
      <c r="M18" s="13"/>
      <c r="N18" s="3"/>
      <c r="O18" s="13"/>
      <c r="P18" s="3"/>
      <c r="Q18" s="3">
        <v>1</v>
      </c>
      <c r="R18" s="3"/>
      <c r="S18" s="3"/>
      <c r="T18" s="1" t="s">
        <v>58</v>
      </c>
      <c r="U18" s="10">
        <v>1</v>
      </c>
      <c r="V18" s="10" t="s">
        <v>664</v>
      </c>
      <c r="W18" s="10" t="s">
        <v>738</v>
      </c>
    </row>
    <row r="19" spans="1:23" ht="16.8" x14ac:dyDescent="0.3">
      <c r="A19" s="19" t="s">
        <v>18</v>
      </c>
      <c r="B19" s="21">
        <v>14</v>
      </c>
      <c r="C19" s="3" t="s">
        <v>75</v>
      </c>
      <c r="D19" s="26" t="s">
        <v>76</v>
      </c>
      <c r="E19" s="3" t="s">
        <v>90</v>
      </c>
      <c r="F19" s="3" t="s">
        <v>91</v>
      </c>
      <c r="G19" s="5">
        <v>105.13311</v>
      </c>
      <c r="H19" s="5">
        <v>10.666397999999999</v>
      </c>
      <c r="I19" s="5">
        <v>105.130787</v>
      </c>
      <c r="J19" s="5">
        <v>10.663987000000001</v>
      </c>
      <c r="K19" s="3">
        <v>400</v>
      </c>
      <c r="L19" s="3"/>
      <c r="M19" s="13"/>
      <c r="N19" s="3">
        <v>1</v>
      </c>
      <c r="O19" s="13"/>
      <c r="P19" s="3"/>
      <c r="Q19" s="3">
        <v>1</v>
      </c>
      <c r="R19" s="3"/>
      <c r="S19" s="3"/>
      <c r="T19" s="1" t="s">
        <v>58</v>
      </c>
      <c r="U19" s="10">
        <v>1</v>
      </c>
      <c r="V19" s="10" t="s">
        <v>664</v>
      </c>
      <c r="W19" s="10" t="s">
        <v>738</v>
      </c>
    </row>
    <row r="20" spans="1:23" ht="16.8" x14ac:dyDescent="0.3">
      <c r="A20" s="19" t="s">
        <v>18</v>
      </c>
      <c r="B20" s="21">
        <v>15</v>
      </c>
      <c r="C20" s="3" t="s">
        <v>75</v>
      </c>
      <c r="D20" s="26" t="s">
        <v>76</v>
      </c>
      <c r="E20" s="3" t="s">
        <v>91</v>
      </c>
      <c r="F20" s="3" t="s">
        <v>92</v>
      </c>
      <c r="G20" s="5">
        <v>105.130787</v>
      </c>
      <c r="H20" s="5">
        <v>10.663987000000001</v>
      </c>
      <c r="I20" s="5">
        <v>105.12967500000001</v>
      </c>
      <c r="J20" s="5">
        <v>10.66291</v>
      </c>
      <c r="K20" s="3">
        <v>200</v>
      </c>
      <c r="L20" s="3"/>
      <c r="M20" s="13"/>
      <c r="N20" s="3"/>
      <c r="O20" s="13"/>
      <c r="P20" s="3"/>
      <c r="Q20" s="3">
        <v>1</v>
      </c>
      <c r="R20" s="3"/>
      <c r="S20" s="3"/>
      <c r="T20" s="1" t="s">
        <v>58</v>
      </c>
      <c r="U20" s="10">
        <v>1</v>
      </c>
      <c r="V20" s="10" t="s">
        <v>664</v>
      </c>
      <c r="W20" s="10" t="s">
        <v>738</v>
      </c>
    </row>
    <row r="21" spans="1:23" ht="16.8" x14ac:dyDescent="0.3">
      <c r="A21" s="19" t="s">
        <v>18</v>
      </c>
      <c r="B21" s="21">
        <v>16</v>
      </c>
      <c r="C21" s="3" t="s">
        <v>75</v>
      </c>
      <c r="D21" s="26" t="s">
        <v>76</v>
      </c>
      <c r="E21" s="3" t="s">
        <v>92</v>
      </c>
      <c r="F21" s="3" t="s">
        <v>93</v>
      </c>
      <c r="G21" s="5">
        <v>105.12967500000001</v>
      </c>
      <c r="H21" s="5">
        <v>10.66291</v>
      </c>
      <c r="I21" s="5">
        <v>105.128471</v>
      </c>
      <c r="J21" s="5">
        <v>10.661688</v>
      </c>
      <c r="K21" s="3">
        <v>200</v>
      </c>
      <c r="L21" s="3"/>
      <c r="M21" s="13"/>
      <c r="N21" s="3"/>
      <c r="O21" s="13"/>
      <c r="P21" s="3"/>
      <c r="Q21" s="3">
        <v>1</v>
      </c>
      <c r="R21" s="3"/>
      <c r="S21" s="3"/>
      <c r="T21" s="1" t="s">
        <v>58</v>
      </c>
      <c r="U21" s="10">
        <v>1</v>
      </c>
      <c r="V21" s="10" t="s">
        <v>664</v>
      </c>
      <c r="W21" s="10" t="s">
        <v>738</v>
      </c>
    </row>
    <row r="22" spans="1:23" ht="16.8" x14ac:dyDescent="0.3">
      <c r="A22" s="19" t="s">
        <v>18</v>
      </c>
      <c r="B22" s="21">
        <v>17</v>
      </c>
      <c r="C22" s="3" t="s">
        <v>75</v>
      </c>
      <c r="D22" s="26" t="s">
        <v>76</v>
      </c>
      <c r="E22" s="3" t="s">
        <v>93</v>
      </c>
      <c r="F22" s="3" t="s">
        <v>94</v>
      </c>
      <c r="G22" s="5">
        <v>105.128471</v>
      </c>
      <c r="H22" s="5">
        <v>10.661688</v>
      </c>
      <c r="I22" s="5">
        <v>105.12729400000001</v>
      </c>
      <c r="J22" s="5">
        <v>10.660558</v>
      </c>
      <c r="K22" s="3">
        <v>200</v>
      </c>
      <c r="L22" s="3"/>
      <c r="M22" s="13"/>
      <c r="N22" s="3"/>
      <c r="O22" s="13"/>
      <c r="P22" s="3"/>
      <c r="Q22" s="3">
        <v>1</v>
      </c>
      <c r="R22" s="3"/>
      <c r="S22" s="3"/>
      <c r="T22" s="1" t="s">
        <v>58</v>
      </c>
      <c r="U22" s="10">
        <v>1</v>
      </c>
      <c r="V22" s="10" t="s">
        <v>664</v>
      </c>
      <c r="W22" s="10" t="s">
        <v>738</v>
      </c>
    </row>
    <row r="23" spans="1:23" ht="16.8" x14ac:dyDescent="0.3">
      <c r="A23" s="19" t="s">
        <v>18</v>
      </c>
      <c r="B23" s="21">
        <v>18</v>
      </c>
      <c r="C23" s="3" t="s">
        <v>75</v>
      </c>
      <c r="D23" s="26" t="s">
        <v>76</v>
      </c>
      <c r="E23" s="3" t="s">
        <v>94</v>
      </c>
      <c r="F23" s="3" t="s">
        <v>95</v>
      </c>
      <c r="G23" s="5">
        <v>105.12729400000001</v>
      </c>
      <c r="H23" s="5">
        <v>10.660558</v>
      </c>
      <c r="I23" s="5">
        <v>105.12624</v>
      </c>
      <c r="J23" s="5">
        <v>10.659428999999999</v>
      </c>
      <c r="K23" s="3">
        <v>200</v>
      </c>
      <c r="L23" s="3"/>
      <c r="M23" s="13"/>
      <c r="N23" s="3">
        <v>1</v>
      </c>
      <c r="O23" s="13"/>
      <c r="P23" s="3"/>
      <c r="Q23" s="3">
        <v>1</v>
      </c>
      <c r="R23" s="3"/>
      <c r="S23" s="3"/>
      <c r="T23" s="1" t="s">
        <v>58</v>
      </c>
      <c r="U23" s="10">
        <v>1</v>
      </c>
      <c r="V23" s="10" t="s">
        <v>664</v>
      </c>
      <c r="W23" s="10" t="s">
        <v>738</v>
      </c>
    </row>
    <row r="24" spans="1:23" ht="16.8" x14ac:dyDescent="0.3">
      <c r="A24" s="19" t="s">
        <v>18</v>
      </c>
      <c r="B24" s="21">
        <v>19</v>
      </c>
      <c r="C24" s="3" t="s">
        <v>75</v>
      </c>
      <c r="D24" s="26" t="s">
        <v>76</v>
      </c>
      <c r="E24" s="3" t="s">
        <v>95</v>
      </c>
      <c r="F24" s="3" t="s">
        <v>96</v>
      </c>
      <c r="G24" s="5">
        <v>105.12624</v>
      </c>
      <c r="H24" s="5">
        <v>10.659428999999999</v>
      </c>
      <c r="I24" s="5">
        <v>105.125058</v>
      </c>
      <c r="J24" s="5">
        <v>10.658243000000001</v>
      </c>
      <c r="K24" s="3">
        <v>200</v>
      </c>
      <c r="L24" s="3"/>
      <c r="M24" s="13"/>
      <c r="N24" s="3"/>
      <c r="O24" s="13"/>
      <c r="P24" s="3"/>
      <c r="Q24" s="3">
        <v>1</v>
      </c>
      <c r="R24" s="3"/>
      <c r="S24" s="3"/>
      <c r="T24" s="1" t="s">
        <v>58</v>
      </c>
      <c r="U24" s="10">
        <v>1</v>
      </c>
      <c r="V24" s="10" t="s">
        <v>664</v>
      </c>
      <c r="W24" s="10" t="s">
        <v>738</v>
      </c>
    </row>
    <row r="25" spans="1:23" ht="16.8" x14ac:dyDescent="0.3">
      <c r="A25" s="19" t="s">
        <v>19</v>
      </c>
      <c r="B25" s="21">
        <v>20</v>
      </c>
      <c r="C25" s="3" t="s">
        <v>75</v>
      </c>
      <c r="D25" s="26" t="s">
        <v>76</v>
      </c>
      <c r="E25" s="3" t="s">
        <v>96</v>
      </c>
      <c r="F25" s="3" t="s">
        <v>97</v>
      </c>
      <c r="G25" s="5">
        <v>105.125058</v>
      </c>
      <c r="H25" s="5">
        <v>10.658243000000001</v>
      </c>
      <c r="I25" s="5">
        <v>105.123887</v>
      </c>
      <c r="J25" s="5">
        <v>10.657055</v>
      </c>
      <c r="K25" s="3">
        <v>200</v>
      </c>
      <c r="L25" s="3"/>
      <c r="M25" s="13"/>
      <c r="N25" s="3"/>
      <c r="O25" s="13"/>
      <c r="P25" s="3"/>
      <c r="Q25" s="3">
        <v>1</v>
      </c>
      <c r="R25" s="3"/>
      <c r="S25" s="3"/>
      <c r="T25" s="1" t="s">
        <v>58</v>
      </c>
      <c r="U25" s="10">
        <v>1</v>
      </c>
      <c r="V25" s="10" t="s">
        <v>664</v>
      </c>
      <c r="W25" s="10" t="s">
        <v>738</v>
      </c>
    </row>
    <row r="26" spans="1:23" ht="16.8" x14ac:dyDescent="0.3">
      <c r="A26" s="19" t="s">
        <v>19</v>
      </c>
      <c r="B26" s="21">
        <v>21</v>
      </c>
      <c r="C26" s="3" t="s">
        <v>75</v>
      </c>
      <c r="D26" s="26" t="s">
        <v>76</v>
      </c>
      <c r="E26" s="3" t="s">
        <v>97</v>
      </c>
      <c r="F26" s="3" t="s">
        <v>98</v>
      </c>
      <c r="G26" s="5">
        <v>105.123887</v>
      </c>
      <c r="H26" s="5">
        <v>10.657055</v>
      </c>
      <c r="I26" s="5">
        <v>105.122365</v>
      </c>
      <c r="J26" s="5">
        <v>10.655507</v>
      </c>
      <c r="K26" s="3">
        <v>250</v>
      </c>
      <c r="L26" s="3"/>
      <c r="M26" s="13"/>
      <c r="N26" s="3"/>
      <c r="O26" s="13"/>
      <c r="P26" s="3"/>
      <c r="Q26" s="3">
        <v>1</v>
      </c>
      <c r="R26" s="3"/>
      <c r="S26" s="3"/>
      <c r="T26" s="1" t="s">
        <v>58</v>
      </c>
      <c r="U26" s="10">
        <v>1</v>
      </c>
      <c r="V26" s="10" t="s">
        <v>664</v>
      </c>
      <c r="W26" s="10" t="s">
        <v>738</v>
      </c>
    </row>
    <row r="27" spans="1:23" ht="16.8" x14ac:dyDescent="0.3">
      <c r="A27" s="19" t="s">
        <v>19</v>
      </c>
      <c r="B27" s="21">
        <v>22</v>
      </c>
      <c r="C27" s="3" t="s">
        <v>75</v>
      </c>
      <c r="D27" s="26" t="s">
        <v>99</v>
      </c>
      <c r="E27" s="3" t="s">
        <v>100</v>
      </c>
      <c r="F27" s="3" t="s">
        <v>101</v>
      </c>
      <c r="G27" s="5">
        <v>105.11582799999999</v>
      </c>
      <c r="H27" s="5">
        <v>10.648960000000001</v>
      </c>
      <c r="I27" s="5">
        <v>105.116716</v>
      </c>
      <c r="J27" s="5">
        <v>10.649827</v>
      </c>
      <c r="K27" s="3">
        <v>200</v>
      </c>
      <c r="L27" s="3"/>
      <c r="M27" s="13"/>
      <c r="N27" s="3">
        <v>1</v>
      </c>
      <c r="O27" s="13"/>
      <c r="P27" s="3"/>
      <c r="Q27" s="3">
        <v>1</v>
      </c>
      <c r="R27" s="3"/>
      <c r="S27" s="3"/>
      <c r="T27" s="3" t="s">
        <v>193</v>
      </c>
      <c r="U27" s="10">
        <v>1</v>
      </c>
      <c r="V27" s="10" t="s">
        <v>664</v>
      </c>
      <c r="W27" s="10" t="s">
        <v>63</v>
      </c>
    </row>
    <row r="28" spans="1:23" ht="16.8" x14ac:dyDescent="0.3">
      <c r="A28" s="19" t="s">
        <v>19</v>
      </c>
      <c r="B28" s="21">
        <v>23</v>
      </c>
      <c r="C28" s="3" t="s">
        <v>75</v>
      </c>
      <c r="D28" s="26" t="s">
        <v>99</v>
      </c>
      <c r="E28" s="3" t="s">
        <v>101</v>
      </c>
      <c r="F28" s="3" t="s">
        <v>102</v>
      </c>
      <c r="G28" s="5">
        <v>105.116716</v>
      </c>
      <c r="H28" s="5">
        <v>10.649827</v>
      </c>
      <c r="I28" s="5">
        <v>105.11755100000001</v>
      </c>
      <c r="J28" s="5">
        <v>10.650684</v>
      </c>
      <c r="K28" s="3">
        <v>200</v>
      </c>
      <c r="L28" s="3"/>
      <c r="M28" s="13"/>
      <c r="N28" s="3"/>
      <c r="O28" s="13"/>
      <c r="P28" s="3"/>
      <c r="Q28" s="3">
        <v>1</v>
      </c>
      <c r="R28" s="3"/>
      <c r="S28" s="3"/>
      <c r="T28" s="3" t="s">
        <v>193</v>
      </c>
      <c r="U28" s="10">
        <v>1</v>
      </c>
      <c r="V28" s="10" t="s">
        <v>664</v>
      </c>
      <c r="W28" s="10" t="s">
        <v>63</v>
      </c>
    </row>
    <row r="29" spans="1:23" ht="16.8" x14ac:dyDescent="0.3">
      <c r="A29" s="19" t="s">
        <v>20</v>
      </c>
      <c r="B29" s="21">
        <v>24</v>
      </c>
      <c r="C29" s="3" t="s">
        <v>75</v>
      </c>
      <c r="D29" s="26" t="s">
        <v>99</v>
      </c>
      <c r="E29" s="3" t="s">
        <v>102</v>
      </c>
      <c r="F29" s="3" t="s">
        <v>103</v>
      </c>
      <c r="G29" s="5">
        <v>105.11755100000001</v>
      </c>
      <c r="H29" s="5">
        <v>10.650684</v>
      </c>
      <c r="I29" s="5">
        <v>105.11920600000001</v>
      </c>
      <c r="J29" s="5">
        <v>10.652312</v>
      </c>
      <c r="K29" s="3">
        <v>300</v>
      </c>
      <c r="L29" s="3"/>
      <c r="M29" s="13"/>
      <c r="N29" s="3"/>
      <c r="O29" s="13"/>
      <c r="P29" s="3"/>
      <c r="Q29" s="3">
        <v>1</v>
      </c>
      <c r="R29" s="3"/>
      <c r="S29" s="3"/>
      <c r="T29" s="3" t="s">
        <v>193</v>
      </c>
      <c r="U29" s="10">
        <v>1</v>
      </c>
      <c r="V29" s="10" t="s">
        <v>664</v>
      </c>
      <c r="W29" s="10" t="s">
        <v>63</v>
      </c>
    </row>
    <row r="30" spans="1:23" ht="16.8" x14ac:dyDescent="0.3">
      <c r="A30" s="19" t="s">
        <v>20</v>
      </c>
      <c r="B30" s="21">
        <v>25</v>
      </c>
      <c r="C30" s="3" t="s">
        <v>75</v>
      </c>
      <c r="D30" s="26" t="s">
        <v>99</v>
      </c>
      <c r="E30" s="3" t="s">
        <v>104</v>
      </c>
      <c r="F30" s="3" t="s">
        <v>105</v>
      </c>
      <c r="G30" s="5">
        <v>105.10596200000001</v>
      </c>
      <c r="H30" s="5">
        <v>10.639699999999999</v>
      </c>
      <c r="I30" s="5">
        <v>105.106734</v>
      </c>
      <c r="J30" s="5">
        <v>10.640447999999999</v>
      </c>
      <c r="K30" s="3">
        <v>200</v>
      </c>
      <c r="L30" s="3"/>
      <c r="M30" s="13"/>
      <c r="N30" s="3"/>
      <c r="O30" s="13"/>
      <c r="P30" s="3"/>
      <c r="Q30" s="3">
        <v>1</v>
      </c>
      <c r="R30" s="3"/>
      <c r="S30" s="3"/>
      <c r="T30" s="3" t="s">
        <v>193</v>
      </c>
      <c r="U30" s="10">
        <v>1</v>
      </c>
      <c r="V30" s="10" t="s">
        <v>664</v>
      </c>
      <c r="W30" s="10" t="s">
        <v>63</v>
      </c>
    </row>
    <row r="31" spans="1:23" ht="16.8" x14ac:dyDescent="0.3">
      <c r="A31" s="19" t="s">
        <v>20</v>
      </c>
      <c r="B31" s="21">
        <v>26</v>
      </c>
      <c r="C31" s="3" t="s">
        <v>75</v>
      </c>
      <c r="D31" s="26" t="s">
        <v>99</v>
      </c>
      <c r="E31" s="3" t="s">
        <v>105</v>
      </c>
      <c r="F31" s="3" t="s">
        <v>106</v>
      </c>
      <c r="G31" s="5">
        <v>105.106734</v>
      </c>
      <c r="H31" s="5">
        <v>10.640447999999999</v>
      </c>
      <c r="I31" s="5">
        <v>105.107499</v>
      </c>
      <c r="J31" s="5">
        <v>10.641296000000001</v>
      </c>
      <c r="K31" s="3">
        <v>200</v>
      </c>
      <c r="L31" s="3"/>
      <c r="M31" s="13"/>
      <c r="N31" s="3">
        <v>1</v>
      </c>
      <c r="O31" s="13"/>
      <c r="P31" s="3"/>
      <c r="Q31" s="3">
        <v>1</v>
      </c>
      <c r="R31" s="3"/>
      <c r="S31" s="3"/>
      <c r="T31" s="3" t="s">
        <v>193</v>
      </c>
      <c r="U31" s="10">
        <v>1</v>
      </c>
      <c r="V31" s="10" t="s">
        <v>664</v>
      </c>
      <c r="W31" s="10" t="s">
        <v>63</v>
      </c>
    </row>
    <row r="32" spans="1:23" ht="16.8" x14ac:dyDescent="0.3">
      <c r="A32" s="19" t="s">
        <v>20</v>
      </c>
      <c r="B32" s="21">
        <v>27</v>
      </c>
      <c r="C32" s="3" t="s">
        <v>75</v>
      </c>
      <c r="D32" s="26" t="s">
        <v>99</v>
      </c>
      <c r="E32" s="3" t="s">
        <v>104</v>
      </c>
      <c r="F32" s="3" t="s">
        <v>107</v>
      </c>
      <c r="G32" s="5">
        <v>105.10596200000001</v>
      </c>
      <c r="H32" s="5">
        <v>10.639699999999999</v>
      </c>
      <c r="I32" s="5">
        <v>105.105037</v>
      </c>
      <c r="J32" s="5">
        <v>10.638840999999999</v>
      </c>
      <c r="K32" s="3">
        <v>250</v>
      </c>
      <c r="L32" s="3"/>
      <c r="M32" s="13"/>
      <c r="N32" s="3"/>
      <c r="O32" s="13"/>
      <c r="P32" s="3"/>
      <c r="Q32" s="3">
        <v>1</v>
      </c>
      <c r="R32" s="3"/>
      <c r="S32" s="3"/>
      <c r="T32" s="3" t="s">
        <v>193</v>
      </c>
      <c r="U32" s="10">
        <v>1</v>
      </c>
      <c r="V32" s="10" t="s">
        <v>664</v>
      </c>
      <c r="W32" s="10" t="s">
        <v>63</v>
      </c>
    </row>
    <row r="33" spans="1:23" ht="16.8" x14ac:dyDescent="0.3">
      <c r="A33" s="19" t="s">
        <v>20</v>
      </c>
      <c r="B33" s="21">
        <v>28</v>
      </c>
      <c r="C33" s="3" t="s">
        <v>75</v>
      </c>
      <c r="D33" s="26" t="s">
        <v>99</v>
      </c>
      <c r="E33" s="3" t="s">
        <v>107</v>
      </c>
      <c r="F33" s="3" t="s">
        <v>108</v>
      </c>
      <c r="G33" s="5">
        <v>105.105037</v>
      </c>
      <c r="H33" s="5">
        <v>10.638840999999999</v>
      </c>
      <c r="I33" s="5">
        <v>105.103931</v>
      </c>
      <c r="J33" s="5">
        <v>10.637585</v>
      </c>
      <c r="K33" s="3">
        <v>250</v>
      </c>
      <c r="L33" s="3"/>
      <c r="M33" s="13"/>
      <c r="N33" s="3"/>
      <c r="O33" s="13"/>
      <c r="P33" s="3"/>
      <c r="Q33" s="3">
        <v>1</v>
      </c>
      <c r="R33" s="3"/>
      <c r="S33" s="3"/>
      <c r="T33" s="3" t="s">
        <v>193</v>
      </c>
      <c r="U33" s="10">
        <v>1</v>
      </c>
      <c r="V33" s="10" t="s">
        <v>664</v>
      </c>
      <c r="W33" s="10" t="s">
        <v>63</v>
      </c>
    </row>
    <row r="34" spans="1:23" ht="16.8" x14ac:dyDescent="0.3">
      <c r="A34" s="19" t="s">
        <v>20</v>
      </c>
      <c r="B34" s="21">
        <v>29</v>
      </c>
      <c r="C34" s="3" t="s">
        <v>75</v>
      </c>
      <c r="D34" s="26" t="s">
        <v>99</v>
      </c>
      <c r="E34" s="3" t="s">
        <v>108</v>
      </c>
      <c r="F34" s="3" t="s">
        <v>109</v>
      </c>
      <c r="G34" s="5">
        <v>105.103931</v>
      </c>
      <c r="H34" s="5">
        <v>10.637585</v>
      </c>
      <c r="I34" s="5">
        <v>105.102355</v>
      </c>
      <c r="J34" s="5">
        <v>10.636018</v>
      </c>
      <c r="K34" s="3">
        <v>200</v>
      </c>
      <c r="L34" s="3"/>
      <c r="M34" s="13"/>
      <c r="N34" s="3"/>
      <c r="O34" s="13"/>
      <c r="P34" s="3"/>
      <c r="Q34" s="3">
        <v>1</v>
      </c>
      <c r="R34" s="3"/>
      <c r="S34" s="3"/>
      <c r="T34" s="3" t="s">
        <v>193</v>
      </c>
      <c r="U34" s="10">
        <v>1</v>
      </c>
      <c r="V34" s="10" t="s">
        <v>664</v>
      </c>
      <c r="W34" s="10" t="s">
        <v>63</v>
      </c>
    </row>
    <row r="35" spans="1:23" ht="16.8" x14ac:dyDescent="0.3">
      <c r="A35" s="19" t="s">
        <v>20</v>
      </c>
      <c r="B35" s="21">
        <v>30</v>
      </c>
      <c r="C35" s="3" t="s">
        <v>75</v>
      </c>
      <c r="D35" s="26" t="s">
        <v>99</v>
      </c>
      <c r="E35" s="3" t="s">
        <v>109</v>
      </c>
      <c r="F35" s="3" t="s">
        <v>110</v>
      </c>
      <c r="G35" s="5">
        <v>105.102355</v>
      </c>
      <c r="H35" s="5">
        <v>10.636018</v>
      </c>
      <c r="I35" s="5">
        <v>105.10049600000001</v>
      </c>
      <c r="J35" s="5">
        <v>10.634134</v>
      </c>
      <c r="K35" s="3">
        <v>250</v>
      </c>
      <c r="L35" s="3"/>
      <c r="M35" s="13"/>
      <c r="N35" s="3">
        <v>1</v>
      </c>
      <c r="O35" s="13"/>
      <c r="P35" s="3"/>
      <c r="Q35" s="3">
        <v>1</v>
      </c>
      <c r="R35" s="3"/>
      <c r="S35" s="3"/>
      <c r="T35" s="3" t="s">
        <v>193</v>
      </c>
      <c r="U35" s="10">
        <v>1</v>
      </c>
      <c r="V35" s="10" t="s">
        <v>664</v>
      </c>
      <c r="W35" s="10" t="s">
        <v>63</v>
      </c>
    </row>
    <row r="36" spans="1:23" ht="16.8" x14ac:dyDescent="0.3">
      <c r="A36" s="19" t="s">
        <v>20</v>
      </c>
      <c r="B36" s="21">
        <v>31</v>
      </c>
      <c r="C36" s="3" t="s">
        <v>75</v>
      </c>
      <c r="D36" s="26" t="s">
        <v>99</v>
      </c>
      <c r="E36" s="3" t="s">
        <v>110</v>
      </c>
      <c r="F36" s="3" t="s">
        <v>111</v>
      </c>
      <c r="G36" s="5">
        <v>105.10049600000001</v>
      </c>
      <c r="H36" s="5">
        <v>10.634134</v>
      </c>
      <c r="I36" s="5">
        <v>105.099673</v>
      </c>
      <c r="J36" s="5">
        <v>10.633342000000001</v>
      </c>
      <c r="K36" s="3">
        <v>200</v>
      </c>
      <c r="L36" s="3"/>
      <c r="M36" s="13"/>
      <c r="N36" s="3"/>
      <c r="O36" s="13"/>
      <c r="P36" s="3"/>
      <c r="Q36" s="3">
        <v>1</v>
      </c>
      <c r="R36" s="3"/>
      <c r="S36" s="3"/>
      <c r="T36" s="3" t="s">
        <v>193</v>
      </c>
      <c r="U36" s="10">
        <v>1</v>
      </c>
      <c r="V36" s="10" t="s">
        <v>664</v>
      </c>
      <c r="W36" s="10" t="s">
        <v>63</v>
      </c>
    </row>
    <row r="37" spans="1:23" ht="16.8" x14ac:dyDescent="0.3">
      <c r="A37" s="19" t="s">
        <v>20</v>
      </c>
      <c r="B37" s="21">
        <v>32</v>
      </c>
      <c r="C37" s="3" t="s">
        <v>75</v>
      </c>
      <c r="D37" s="26" t="s">
        <v>112</v>
      </c>
      <c r="E37" s="3" t="s">
        <v>113</v>
      </c>
      <c r="F37" s="3" t="s">
        <v>114</v>
      </c>
      <c r="G37" s="5">
        <v>105.11473599999999</v>
      </c>
      <c r="H37" s="5">
        <v>10.706751000000001</v>
      </c>
      <c r="I37" s="5">
        <v>105.115357</v>
      </c>
      <c r="J37" s="5">
        <v>10.707157</v>
      </c>
      <c r="K37" s="3">
        <v>100</v>
      </c>
      <c r="L37" s="3"/>
      <c r="M37" s="13"/>
      <c r="N37" s="3">
        <v>1</v>
      </c>
      <c r="O37" s="13"/>
      <c r="P37" s="3"/>
      <c r="Q37" s="3">
        <v>1</v>
      </c>
      <c r="R37" s="3"/>
      <c r="S37" s="3"/>
      <c r="T37" s="3" t="s">
        <v>193</v>
      </c>
      <c r="U37" s="10">
        <v>1</v>
      </c>
      <c r="V37" s="10" t="s">
        <v>664</v>
      </c>
      <c r="W37" s="10" t="s">
        <v>739</v>
      </c>
    </row>
    <row r="38" spans="1:23" ht="16.8" x14ac:dyDescent="0.3">
      <c r="A38" s="19" t="s">
        <v>20</v>
      </c>
      <c r="B38" s="21">
        <v>33</v>
      </c>
      <c r="C38" s="3" t="s">
        <v>75</v>
      </c>
      <c r="D38" s="26" t="s">
        <v>112</v>
      </c>
      <c r="E38" s="3" t="s">
        <v>114</v>
      </c>
      <c r="F38" s="3" t="s">
        <v>115</v>
      </c>
      <c r="G38" s="5">
        <v>105.115357</v>
      </c>
      <c r="H38" s="5">
        <v>10.707157</v>
      </c>
      <c r="I38" s="5">
        <v>105.11606399999999</v>
      </c>
      <c r="J38" s="5">
        <v>10.707665</v>
      </c>
      <c r="K38" s="3">
        <v>100</v>
      </c>
      <c r="L38" s="3"/>
      <c r="M38" s="13"/>
      <c r="N38" s="3"/>
      <c r="O38" s="13"/>
      <c r="P38" s="3"/>
      <c r="Q38" s="3">
        <v>1</v>
      </c>
      <c r="R38" s="3"/>
      <c r="S38" s="3"/>
      <c r="T38" s="3" t="s">
        <v>193</v>
      </c>
      <c r="U38" s="10">
        <v>1</v>
      </c>
      <c r="V38" s="10" t="s">
        <v>664</v>
      </c>
      <c r="W38" s="10" t="s">
        <v>739</v>
      </c>
    </row>
    <row r="39" spans="1:23" ht="16.8" x14ac:dyDescent="0.3">
      <c r="A39" s="19" t="s">
        <v>20</v>
      </c>
      <c r="B39" s="21">
        <v>34</v>
      </c>
      <c r="C39" s="3" t="s">
        <v>75</v>
      </c>
      <c r="D39" s="26" t="s">
        <v>112</v>
      </c>
      <c r="E39" s="3" t="s">
        <v>115</v>
      </c>
      <c r="F39" s="3" t="s">
        <v>116</v>
      </c>
      <c r="G39" s="5">
        <v>105.11606399999999</v>
      </c>
      <c r="H39" s="5">
        <v>10.707665</v>
      </c>
      <c r="I39" s="5">
        <v>105.116534</v>
      </c>
      <c r="J39" s="5">
        <v>10.708011000000001</v>
      </c>
      <c r="K39" s="3">
        <v>150</v>
      </c>
      <c r="L39" s="3"/>
      <c r="M39" s="13"/>
      <c r="N39" s="3"/>
      <c r="O39" s="13"/>
      <c r="P39" s="3"/>
      <c r="Q39" s="3">
        <v>1</v>
      </c>
      <c r="R39" s="3"/>
      <c r="S39" s="3"/>
      <c r="T39" s="3" t="s">
        <v>193</v>
      </c>
      <c r="U39" s="10">
        <v>1</v>
      </c>
      <c r="V39" s="10" t="s">
        <v>664</v>
      </c>
      <c r="W39" s="10" t="s">
        <v>739</v>
      </c>
    </row>
    <row r="40" spans="1:23" ht="16.8" x14ac:dyDescent="0.3">
      <c r="A40" s="19" t="s">
        <v>20</v>
      </c>
      <c r="B40" s="21">
        <v>35</v>
      </c>
      <c r="C40" s="3" t="s">
        <v>75</v>
      </c>
      <c r="D40" s="26" t="s">
        <v>112</v>
      </c>
      <c r="E40" s="3" t="s">
        <v>116</v>
      </c>
      <c r="F40" s="3" t="s">
        <v>117</v>
      </c>
      <c r="G40" s="5">
        <v>105.116534</v>
      </c>
      <c r="H40" s="5">
        <v>10.708011000000001</v>
      </c>
      <c r="I40" s="5">
        <v>105.117018</v>
      </c>
      <c r="J40" s="5">
        <v>10.708361999999999</v>
      </c>
      <c r="K40" s="3">
        <v>100</v>
      </c>
      <c r="L40" s="3"/>
      <c r="M40" s="13"/>
      <c r="N40" s="3">
        <v>1</v>
      </c>
      <c r="O40" s="13"/>
      <c r="P40" s="3"/>
      <c r="Q40" s="3">
        <v>1</v>
      </c>
      <c r="R40" s="3"/>
      <c r="S40" s="3"/>
      <c r="T40" s="3" t="s">
        <v>193</v>
      </c>
      <c r="U40" s="10">
        <v>1</v>
      </c>
      <c r="V40" s="10" t="s">
        <v>664</v>
      </c>
      <c r="W40" s="10" t="s">
        <v>739</v>
      </c>
    </row>
    <row r="41" spans="1:23" ht="16.8" x14ac:dyDescent="0.3">
      <c r="A41" s="19" t="s">
        <v>20</v>
      </c>
      <c r="B41" s="21">
        <v>36</v>
      </c>
      <c r="C41" s="3" t="s">
        <v>75</v>
      </c>
      <c r="D41" s="26" t="s">
        <v>112</v>
      </c>
      <c r="E41" s="3" t="s">
        <v>113</v>
      </c>
      <c r="F41" s="3" t="s">
        <v>118</v>
      </c>
      <c r="G41" s="5">
        <v>105.11473599999999</v>
      </c>
      <c r="H41" s="5">
        <v>10.706751000000001</v>
      </c>
      <c r="I41" s="5">
        <v>105.114189</v>
      </c>
      <c r="J41" s="5">
        <v>10.706409000000001</v>
      </c>
      <c r="K41" s="3">
        <v>100</v>
      </c>
      <c r="L41" s="3"/>
      <c r="M41" s="13"/>
      <c r="N41" s="3"/>
      <c r="O41" s="13"/>
      <c r="P41" s="3"/>
      <c r="Q41" s="3">
        <v>1</v>
      </c>
      <c r="R41" s="3"/>
      <c r="S41" s="3"/>
      <c r="T41" s="3" t="s">
        <v>193</v>
      </c>
      <c r="U41" s="10">
        <v>1</v>
      </c>
      <c r="V41" s="10" t="s">
        <v>664</v>
      </c>
      <c r="W41" s="10" t="s">
        <v>739</v>
      </c>
    </row>
    <row r="42" spans="1:23" ht="16.8" x14ac:dyDescent="0.3">
      <c r="A42" s="19" t="s">
        <v>20</v>
      </c>
      <c r="B42" s="21">
        <v>37</v>
      </c>
      <c r="C42" s="3" t="s">
        <v>75</v>
      </c>
      <c r="D42" s="26" t="s">
        <v>112</v>
      </c>
      <c r="E42" s="3" t="s">
        <v>118</v>
      </c>
      <c r="F42" s="3" t="s">
        <v>119</v>
      </c>
      <c r="G42" s="5">
        <v>105.114189</v>
      </c>
      <c r="H42" s="5">
        <v>10.706409000000001</v>
      </c>
      <c r="I42" s="5">
        <v>105.113652</v>
      </c>
      <c r="J42" s="5">
        <v>10.706034000000001</v>
      </c>
      <c r="K42" s="3">
        <v>100</v>
      </c>
      <c r="L42" s="3"/>
      <c r="M42" s="13"/>
      <c r="N42" s="3"/>
      <c r="O42" s="13"/>
      <c r="P42" s="3"/>
      <c r="Q42" s="3">
        <v>1</v>
      </c>
      <c r="R42" s="3"/>
      <c r="S42" s="3"/>
      <c r="T42" s="3" t="s">
        <v>193</v>
      </c>
      <c r="U42" s="10">
        <v>1</v>
      </c>
      <c r="V42" s="10" t="s">
        <v>664</v>
      </c>
      <c r="W42" s="10" t="s">
        <v>739</v>
      </c>
    </row>
    <row r="43" spans="1:23" ht="16.8" x14ac:dyDescent="0.3">
      <c r="A43" s="19" t="s">
        <v>20</v>
      </c>
      <c r="B43" s="21">
        <v>38</v>
      </c>
      <c r="C43" s="3" t="s">
        <v>75</v>
      </c>
      <c r="D43" s="26" t="s">
        <v>112</v>
      </c>
      <c r="E43" s="3" t="s">
        <v>119</v>
      </c>
      <c r="F43" s="3" t="s">
        <v>120</v>
      </c>
      <c r="G43" s="5">
        <v>105.113652</v>
      </c>
      <c r="H43" s="5">
        <v>10.706034000000001</v>
      </c>
      <c r="I43" s="5">
        <v>105.11303599999999</v>
      </c>
      <c r="J43" s="5">
        <v>10.705579999999999</v>
      </c>
      <c r="K43" s="3">
        <v>100</v>
      </c>
      <c r="L43" s="3"/>
      <c r="M43" s="13"/>
      <c r="N43" s="3"/>
      <c r="O43" s="13"/>
      <c r="P43" s="3"/>
      <c r="Q43" s="3">
        <v>1</v>
      </c>
      <c r="R43" s="3"/>
      <c r="S43" s="3"/>
      <c r="T43" s="3" t="s">
        <v>193</v>
      </c>
      <c r="U43" s="10">
        <v>1</v>
      </c>
      <c r="V43" s="10" t="s">
        <v>664</v>
      </c>
      <c r="W43" s="10" t="s">
        <v>739</v>
      </c>
    </row>
    <row r="44" spans="1:23" ht="16.8" x14ac:dyDescent="0.3">
      <c r="A44" s="19" t="s">
        <v>20</v>
      </c>
      <c r="B44" s="21">
        <v>39</v>
      </c>
      <c r="C44" s="3" t="s">
        <v>75</v>
      </c>
      <c r="D44" s="26" t="s">
        <v>112</v>
      </c>
      <c r="E44" s="3" t="s">
        <v>120</v>
      </c>
      <c r="F44" s="3" t="s">
        <v>121</v>
      </c>
      <c r="G44" s="5">
        <v>105.11303599999999</v>
      </c>
      <c r="H44" s="5">
        <v>10.705579999999999</v>
      </c>
      <c r="I44" s="5">
        <v>105.112193</v>
      </c>
      <c r="J44" s="5">
        <v>10.704955</v>
      </c>
      <c r="K44" s="3">
        <v>100</v>
      </c>
      <c r="L44" s="3"/>
      <c r="M44" s="13"/>
      <c r="N44" s="3">
        <v>1</v>
      </c>
      <c r="O44" s="13"/>
      <c r="P44" s="3"/>
      <c r="Q44" s="3">
        <v>1</v>
      </c>
      <c r="R44" s="3"/>
      <c r="S44" s="3"/>
      <c r="T44" s="3" t="s">
        <v>193</v>
      </c>
      <c r="U44" s="10">
        <v>1</v>
      </c>
      <c r="V44" s="10" t="s">
        <v>664</v>
      </c>
      <c r="W44" s="10" t="s">
        <v>739</v>
      </c>
    </row>
    <row r="45" spans="1:23" ht="16.8" x14ac:dyDescent="0.3">
      <c r="A45" s="19" t="s">
        <v>21</v>
      </c>
      <c r="B45" s="21">
        <v>40</v>
      </c>
      <c r="C45" s="3" t="s">
        <v>75</v>
      </c>
      <c r="D45" s="26" t="s">
        <v>112</v>
      </c>
      <c r="E45" s="3" t="s">
        <v>121</v>
      </c>
      <c r="F45" s="3" t="s">
        <v>122</v>
      </c>
      <c r="G45" s="5">
        <v>105.112193</v>
      </c>
      <c r="H45" s="5">
        <v>10.704955</v>
      </c>
      <c r="I45" s="5">
        <v>105.111484</v>
      </c>
      <c r="J45" s="5">
        <v>10.704447</v>
      </c>
      <c r="K45" s="3">
        <v>100</v>
      </c>
      <c r="L45" s="3"/>
      <c r="M45" s="13"/>
      <c r="N45" s="3"/>
      <c r="O45" s="13"/>
      <c r="P45" s="3"/>
      <c r="Q45" s="3">
        <v>1</v>
      </c>
      <c r="R45" s="3"/>
      <c r="S45" s="3"/>
      <c r="T45" s="3" t="s">
        <v>193</v>
      </c>
      <c r="U45" s="10">
        <v>1</v>
      </c>
      <c r="V45" s="10" t="s">
        <v>664</v>
      </c>
      <c r="W45" s="10" t="s">
        <v>739</v>
      </c>
    </row>
    <row r="46" spans="1:23" ht="16.8" x14ac:dyDescent="0.3">
      <c r="A46" s="19" t="s">
        <v>21</v>
      </c>
      <c r="B46" s="21">
        <v>41</v>
      </c>
      <c r="C46" s="3" t="s">
        <v>75</v>
      </c>
      <c r="D46" s="26" t="s">
        <v>112</v>
      </c>
      <c r="E46" s="3" t="s">
        <v>122</v>
      </c>
      <c r="F46" s="3" t="s">
        <v>123</v>
      </c>
      <c r="G46" s="5">
        <v>105.111484</v>
      </c>
      <c r="H46" s="5">
        <v>10.704447</v>
      </c>
      <c r="I46" s="5">
        <v>105.110861</v>
      </c>
      <c r="J46" s="5">
        <v>10.703986</v>
      </c>
      <c r="K46" s="3">
        <v>100</v>
      </c>
      <c r="L46" s="3"/>
      <c r="M46" s="13"/>
      <c r="N46" s="3"/>
      <c r="O46" s="13"/>
      <c r="P46" s="3"/>
      <c r="Q46" s="3">
        <v>1</v>
      </c>
      <c r="R46" s="3"/>
      <c r="S46" s="3"/>
      <c r="T46" s="3" t="s">
        <v>193</v>
      </c>
      <c r="U46" s="10">
        <v>1</v>
      </c>
      <c r="V46" s="10" t="s">
        <v>664</v>
      </c>
      <c r="W46" s="10" t="s">
        <v>739</v>
      </c>
    </row>
    <row r="47" spans="1:23" ht="16.8" x14ac:dyDescent="0.3">
      <c r="A47" s="19" t="s">
        <v>21</v>
      </c>
      <c r="B47" s="21">
        <v>42</v>
      </c>
      <c r="C47" s="3" t="s">
        <v>75</v>
      </c>
      <c r="D47" s="26" t="s">
        <v>112</v>
      </c>
      <c r="E47" s="3" t="s">
        <v>123</v>
      </c>
      <c r="F47" s="3" t="s">
        <v>124</v>
      </c>
      <c r="G47" s="5">
        <v>105.110861</v>
      </c>
      <c r="H47" s="5">
        <v>10.703986</v>
      </c>
      <c r="I47" s="5">
        <v>105.11022800000001</v>
      </c>
      <c r="J47" s="5">
        <v>10.703495999999999</v>
      </c>
      <c r="K47" s="3">
        <v>100</v>
      </c>
      <c r="L47" s="3"/>
      <c r="M47" s="13"/>
      <c r="N47" s="3"/>
      <c r="O47" s="13"/>
      <c r="P47" s="3"/>
      <c r="Q47" s="3">
        <v>1</v>
      </c>
      <c r="R47" s="3"/>
      <c r="S47" s="3"/>
      <c r="T47" s="3" t="s">
        <v>193</v>
      </c>
      <c r="U47" s="10">
        <v>1</v>
      </c>
      <c r="V47" s="10" t="s">
        <v>664</v>
      </c>
      <c r="W47" s="10" t="s">
        <v>739</v>
      </c>
    </row>
    <row r="48" spans="1:23" ht="16.8" x14ac:dyDescent="0.3">
      <c r="A48" s="19" t="s">
        <v>21</v>
      </c>
      <c r="B48" s="21">
        <v>43</v>
      </c>
      <c r="C48" s="3" t="s">
        <v>75</v>
      </c>
      <c r="D48" s="26" t="s">
        <v>112</v>
      </c>
      <c r="E48" s="3" t="s">
        <v>124</v>
      </c>
      <c r="F48" s="3" t="s">
        <v>125</v>
      </c>
      <c r="G48" s="5">
        <v>105.11022800000001</v>
      </c>
      <c r="H48" s="5">
        <v>10.703495999999999</v>
      </c>
      <c r="I48" s="5">
        <v>105.10964800000001</v>
      </c>
      <c r="J48" s="5">
        <v>10.703061</v>
      </c>
      <c r="K48" s="3">
        <v>100</v>
      </c>
      <c r="L48" s="3"/>
      <c r="M48" s="13"/>
      <c r="N48" s="3">
        <v>1</v>
      </c>
      <c r="O48" s="13"/>
      <c r="P48" s="3"/>
      <c r="Q48" s="3">
        <v>1</v>
      </c>
      <c r="R48" s="3"/>
      <c r="S48" s="3"/>
      <c r="T48" s="3" t="s">
        <v>193</v>
      </c>
      <c r="U48" s="10">
        <v>1</v>
      </c>
      <c r="V48" s="10" t="s">
        <v>664</v>
      </c>
      <c r="W48" s="10" t="s">
        <v>739</v>
      </c>
    </row>
    <row r="49" spans="1:23" ht="16.8" x14ac:dyDescent="0.3">
      <c r="A49" s="19" t="s">
        <v>21</v>
      </c>
      <c r="B49" s="21">
        <v>44</v>
      </c>
      <c r="C49" s="3" t="s">
        <v>75</v>
      </c>
      <c r="D49" s="26" t="s">
        <v>112</v>
      </c>
      <c r="E49" s="3" t="s">
        <v>125</v>
      </c>
      <c r="F49" s="3" t="s">
        <v>126</v>
      </c>
      <c r="G49" s="5">
        <v>105.10964800000001</v>
      </c>
      <c r="H49" s="5">
        <v>10.703061</v>
      </c>
      <c r="I49" s="5">
        <v>105.10903399999999</v>
      </c>
      <c r="J49" s="5">
        <v>10.702589</v>
      </c>
      <c r="K49" s="3">
        <v>100</v>
      </c>
      <c r="L49" s="3"/>
      <c r="M49" s="13"/>
      <c r="N49" s="3"/>
      <c r="O49" s="13"/>
      <c r="P49" s="3"/>
      <c r="Q49" s="3">
        <v>1</v>
      </c>
      <c r="R49" s="3"/>
      <c r="S49" s="3"/>
      <c r="T49" s="3" t="s">
        <v>193</v>
      </c>
      <c r="U49" s="10">
        <v>1</v>
      </c>
      <c r="V49" s="10" t="s">
        <v>664</v>
      </c>
      <c r="W49" s="10" t="s">
        <v>739</v>
      </c>
    </row>
    <row r="50" spans="1:23" ht="16.8" x14ac:dyDescent="0.3">
      <c r="A50" s="19" t="s">
        <v>21</v>
      </c>
      <c r="B50" s="21">
        <v>45</v>
      </c>
      <c r="C50" s="63" t="s">
        <v>75</v>
      </c>
      <c r="D50" s="66" t="s">
        <v>720</v>
      </c>
      <c r="E50" s="63" t="s">
        <v>720</v>
      </c>
      <c r="F50" s="63" t="s">
        <v>721</v>
      </c>
      <c r="G50" s="62">
        <v>105.07041</v>
      </c>
      <c r="H50" s="62">
        <v>10.674434</v>
      </c>
      <c r="I50" s="62">
        <v>105.06643</v>
      </c>
      <c r="J50" s="62">
        <v>10.671032</v>
      </c>
      <c r="K50" s="63">
        <v>600</v>
      </c>
      <c r="L50" s="63"/>
      <c r="M50" s="16"/>
      <c r="N50" s="63"/>
      <c r="O50" s="16"/>
      <c r="P50" s="63"/>
      <c r="Q50" s="63">
        <v>1</v>
      </c>
      <c r="R50" s="63">
        <v>1</v>
      </c>
      <c r="S50" s="63"/>
      <c r="T50" s="63" t="s">
        <v>193</v>
      </c>
      <c r="U50" s="10">
        <v>1</v>
      </c>
      <c r="V50" s="10" t="s">
        <v>664</v>
      </c>
      <c r="W50" s="10" t="s">
        <v>739</v>
      </c>
    </row>
    <row r="51" spans="1:23" ht="16.8" x14ac:dyDescent="0.3">
      <c r="A51" s="19" t="s">
        <v>21</v>
      </c>
      <c r="B51" s="21">
        <v>46</v>
      </c>
      <c r="C51" s="3" t="s">
        <v>75</v>
      </c>
      <c r="D51" s="26" t="s">
        <v>720</v>
      </c>
      <c r="E51" s="3" t="s">
        <v>721</v>
      </c>
      <c r="F51" s="3" t="s">
        <v>722</v>
      </c>
      <c r="G51" s="5">
        <v>105.06643</v>
      </c>
      <c r="H51" s="5">
        <v>10.671032</v>
      </c>
      <c r="I51" s="5">
        <v>105.063643</v>
      </c>
      <c r="J51" s="5">
        <v>10.668903</v>
      </c>
      <c r="K51" s="3">
        <v>350</v>
      </c>
      <c r="L51" s="3"/>
      <c r="M51" s="13"/>
      <c r="N51" s="3">
        <v>1</v>
      </c>
      <c r="O51" s="13"/>
      <c r="P51" s="3"/>
      <c r="Q51" s="3">
        <v>1</v>
      </c>
      <c r="R51" s="3"/>
      <c r="S51" s="3"/>
      <c r="T51" s="3" t="s">
        <v>193</v>
      </c>
      <c r="U51" s="10">
        <v>1</v>
      </c>
      <c r="V51" s="10" t="s">
        <v>664</v>
      </c>
      <c r="W51" s="10" t="s">
        <v>739</v>
      </c>
    </row>
    <row r="52" spans="1:23" ht="16.8" x14ac:dyDescent="0.3">
      <c r="A52" s="19" t="s">
        <v>21</v>
      </c>
      <c r="B52" s="21">
        <v>47</v>
      </c>
      <c r="C52" s="3" t="s">
        <v>75</v>
      </c>
      <c r="D52" s="26" t="s">
        <v>720</v>
      </c>
      <c r="E52" s="3" t="s">
        <v>722</v>
      </c>
      <c r="F52" s="3" t="s">
        <v>723</v>
      </c>
      <c r="G52" s="5">
        <v>105.063643</v>
      </c>
      <c r="H52" s="5">
        <v>10.668903</v>
      </c>
      <c r="I52" s="5">
        <v>105.06289</v>
      </c>
      <c r="J52" s="5">
        <v>10.668327</v>
      </c>
      <c r="K52" s="3">
        <v>200</v>
      </c>
      <c r="L52" s="3"/>
      <c r="M52" s="13"/>
      <c r="N52" s="3"/>
      <c r="O52" s="13"/>
      <c r="P52" s="3"/>
      <c r="Q52" s="3">
        <v>1</v>
      </c>
      <c r="R52" s="3"/>
      <c r="S52" s="3"/>
      <c r="T52" s="3" t="s">
        <v>193</v>
      </c>
      <c r="U52" s="10">
        <v>1</v>
      </c>
      <c r="V52" s="10" t="s">
        <v>664</v>
      </c>
      <c r="W52" s="10" t="s">
        <v>739</v>
      </c>
    </row>
    <row r="53" spans="1:23" ht="16.8" x14ac:dyDescent="0.3">
      <c r="A53" s="19" t="s">
        <v>23</v>
      </c>
      <c r="B53" s="21">
        <v>48</v>
      </c>
      <c r="C53" s="3" t="s">
        <v>75</v>
      </c>
      <c r="D53" s="26" t="s">
        <v>720</v>
      </c>
      <c r="E53" s="3" t="s">
        <v>723</v>
      </c>
      <c r="F53" s="3" t="s">
        <v>724</v>
      </c>
      <c r="G53" s="5">
        <v>105.06289</v>
      </c>
      <c r="H53" s="5">
        <v>10.668327</v>
      </c>
      <c r="I53" s="5">
        <v>105.06207499999999</v>
      </c>
      <c r="J53" s="5">
        <v>10.667729</v>
      </c>
      <c r="K53" s="3">
        <v>200</v>
      </c>
      <c r="L53" s="3"/>
      <c r="M53" s="13"/>
      <c r="N53" s="3"/>
      <c r="O53" s="13"/>
      <c r="P53" s="3"/>
      <c r="Q53" s="3">
        <v>1</v>
      </c>
      <c r="R53" s="3"/>
      <c r="S53" s="3"/>
      <c r="T53" s="3" t="s">
        <v>193</v>
      </c>
      <c r="U53" s="10">
        <v>1</v>
      </c>
      <c r="V53" s="10" t="s">
        <v>664</v>
      </c>
      <c r="W53" s="10" t="s">
        <v>739</v>
      </c>
    </row>
    <row r="54" spans="1:23" ht="16.8" x14ac:dyDescent="0.3">
      <c r="A54" s="19" t="s">
        <v>23</v>
      </c>
      <c r="B54" s="21">
        <v>49</v>
      </c>
      <c r="C54" s="3" t="s">
        <v>75</v>
      </c>
      <c r="D54" s="26" t="s">
        <v>720</v>
      </c>
      <c r="E54" s="3" t="s">
        <v>724</v>
      </c>
      <c r="F54" s="3" t="s">
        <v>725</v>
      </c>
      <c r="G54" s="5">
        <v>105.06207499999999</v>
      </c>
      <c r="H54" s="5">
        <v>10.667729</v>
      </c>
      <c r="I54" s="5">
        <v>105.06108500000001</v>
      </c>
      <c r="J54" s="5">
        <v>10.666982000000001</v>
      </c>
      <c r="K54" s="3">
        <v>100</v>
      </c>
      <c r="L54" s="3"/>
      <c r="M54" s="13"/>
      <c r="N54" s="3"/>
      <c r="O54" s="13"/>
      <c r="P54" s="3"/>
      <c r="Q54" s="3">
        <v>1</v>
      </c>
      <c r="R54" s="3"/>
      <c r="S54" s="3"/>
      <c r="T54" s="3" t="s">
        <v>193</v>
      </c>
      <c r="U54" s="10">
        <v>1</v>
      </c>
      <c r="V54" s="10" t="s">
        <v>664</v>
      </c>
      <c r="W54" s="10" t="s">
        <v>739</v>
      </c>
    </row>
    <row r="55" spans="1:23" ht="16.8" x14ac:dyDescent="0.3">
      <c r="A55" s="19" t="s">
        <v>23</v>
      </c>
      <c r="B55" s="21">
        <v>50</v>
      </c>
      <c r="C55" s="3" t="s">
        <v>75</v>
      </c>
      <c r="D55" s="26" t="s">
        <v>720</v>
      </c>
      <c r="E55" s="3" t="s">
        <v>724</v>
      </c>
      <c r="F55" s="3" t="s">
        <v>726</v>
      </c>
      <c r="G55" s="5">
        <v>105.06207499999999</v>
      </c>
      <c r="H55" s="5">
        <v>10.667729</v>
      </c>
      <c r="I55" s="5">
        <v>105.06052800000001</v>
      </c>
      <c r="J55" s="5">
        <v>10.666561</v>
      </c>
      <c r="K55" s="3">
        <v>150</v>
      </c>
      <c r="L55" s="3"/>
      <c r="M55" s="13"/>
      <c r="N55" s="3">
        <v>1</v>
      </c>
      <c r="O55" s="13"/>
      <c r="P55" s="3"/>
      <c r="Q55" s="3">
        <v>1</v>
      </c>
      <c r="R55" s="3"/>
      <c r="S55" s="3"/>
      <c r="T55" s="3" t="s">
        <v>193</v>
      </c>
      <c r="U55" s="10">
        <v>1</v>
      </c>
      <c r="V55" s="10" t="s">
        <v>664</v>
      </c>
      <c r="W55" s="10" t="s">
        <v>739</v>
      </c>
    </row>
    <row r="56" spans="1:23" ht="16.8" x14ac:dyDescent="0.3">
      <c r="A56" s="19" t="s">
        <v>23</v>
      </c>
      <c r="B56" s="21">
        <v>51</v>
      </c>
      <c r="C56" s="3" t="s">
        <v>75</v>
      </c>
      <c r="D56" s="26" t="s">
        <v>720</v>
      </c>
      <c r="E56" s="3" t="s">
        <v>726</v>
      </c>
      <c r="F56" s="3" t="s">
        <v>727</v>
      </c>
      <c r="G56" s="5">
        <v>105.06052800000001</v>
      </c>
      <c r="H56" s="5">
        <v>10.666561</v>
      </c>
      <c r="I56" s="5">
        <v>105.05956399999999</v>
      </c>
      <c r="J56" s="5">
        <v>10.665851</v>
      </c>
      <c r="K56" s="3">
        <v>300</v>
      </c>
      <c r="L56" s="3"/>
      <c r="M56" s="13"/>
      <c r="N56" s="3"/>
      <c r="O56" s="13"/>
      <c r="P56" s="3"/>
      <c r="Q56" s="3">
        <v>1</v>
      </c>
      <c r="R56" s="3"/>
      <c r="S56" s="3"/>
      <c r="T56" s="3" t="s">
        <v>193</v>
      </c>
      <c r="U56" s="10">
        <v>1</v>
      </c>
      <c r="V56" s="10" t="s">
        <v>664</v>
      </c>
      <c r="W56" s="10" t="s">
        <v>739</v>
      </c>
    </row>
    <row r="57" spans="1:23" ht="16.8" x14ac:dyDescent="0.3">
      <c r="A57" s="19" t="s">
        <v>23</v>
      </c>
      <c r="B57" s="21">
        <v>52</v>
      </c>
      <c r="C57" s="3" t="s">
        <v>75</v>
      </c>
      <c r="D57" s="26" t="s">
        <v>720</v>
      </c>
      <c r="E57" s="3" t="s">
        <v>727</v>
      </c>
      <c r="F57" s="3" t="s">
        <v>728</v>
      </c>
      <c r="G57" s="5">
        <v>105.05956399999999</v>
      </c>
      <c r="H57" s="5">
        <v>10.665851</v>
      </c>
      <c r="I57" s="5">
        <v>105.058466</v>
      </c>
      <c r="J57" s="5">
        <v>10.665096999999999</v>
      </c>
      <c r="K57" s="3">
        <v>200</v>
      </c>
      <c r="L57" s="3"/>
      <c r="M57" s="13"/>
      <c r="N57" s="3"/>
      <c r="O57" s="13"/>
      <c r="P57" s="3"/>
      <c r="Q57" s="3">
        <v>1</v>
      </c>
      <c r="R57" s="3"/>
      <c r="S57" s="3"/>
      <c r="T57" s="3" t="s">
        <v>193</v>
      </c>
      <c r="U57" s="10">
        <v>1</v>
      </c>
      <c r="V57" s="10" t="s">
        <v>664</v>
      </c>
      <c r="W57" s="10" t="s">
        <v>739</v>
      </c>
    </row>
    <row r="58" spans="1:23" ht="16.8" x14ac:dyDescent="0.3">
      <c r="A58" s="19" t="s">
        <v>23</v>
      </c>
      <c r="B58" s="21">
        <v>53</v>
      </c>
      <c r="C58" s="63" t="s">
        <v>75</v>
      </c>
      <c r="D58" s="66" t="s">
        <v>112</v>
      </c>
      <c r="E58" s="63" t="s">
        <v>127</v>
      </c>
      <c r="F58" s="63" t="s">
        <v>128</v>
      </c>
      <c r="G58" s="62">
        <v>105.120193</v>
      </c>
      <c r="H58" s="62">
        <v>10.710404</v>
      </c>
      <c r="I58" s="62">
        <v>105.119964</v>
      </c>
      <c r="J58" s="62">
        <v>10.711738</v>
      </c>
      <c r="K58" s="63">
        <v>250</v>
      </c>
      <c r="L58" s="63"/>
      <c r="M58" s="16"/>
      <c r="N58" s="63"/>
      <c r="O58" s="16"/>
      <c r="P58" s="63"/>
      <c r="Q58" s="63">
        <v>1</v>
      </c>
      <c r="R58" s="63">
        <v>1</v>
      </c>
      <c r="S58" s="63"/>
      <c r="T58" s="63" t="s">
        <v>193</v>
      </c>
      <c r="U58" s="10">
        <v>1</v>
      </c>
      <c r="V58" s="10" t="s">
        <v>664</v>
      </c>
      <c r="W58" s="10" t="s">
        <v>739</v>
      </c>
    </row>
    <row r="59" spans="1:23" ht="16.8" x14ac:dyDescent="0.3">
      <c r="A59" s="19" t="s">
        <v>23</v>
      </c>
      <c r="B59" s="21">
        <v>54</v>
      </c>
      <c r="C59" s="3" t="s">
        <v>75</v>
      </c>
      <c r="D59" s="26" t="s">
        <v>129</v>
      </c>
      <c r="E59" s="3" t="s">
        <v>128</v>
      </c>
      <c r="F59" s="3" t="s">
        <v>130</v>
      </c>
      <c r="G59" s="5">
        <v>105.119964</v>
      </c>
      <c r="H59" s="5">
        <v>10.711738</v>
      </c>
      <c r="I59" s="5">
        <v>105.119337</v>
      </c>
      <c r="J59" s="5">
        <v>10.712583</v>
      </c>
      <c r="K59" s="3">
        <v>150</v>
      </c>
      <c r="L59" s="3"/>
      <c r="M59" s="13"/>
      <c r="N59" s="3">
        <v>1</v>
      </c>
      <c r="O59" s="13"/>
      <c r="P59" s="3"/>
      <c r="Q59" s="3">
        <v>1</v>
      </c>
      <c r="R59" s="3"/>
      <c r="S59" s="3"/>
      <c r="T59" s="3" t="s">
        <v>193</v>
      </c>
      <c r="U59" s="10">
        <v>1</v>
      </c>
      <c r="V59" s="10" t="s">
        <v>664</v>
      </c>
      <c r="W59" s="10" t="s">
        <v>739</v>
      </c>
    </row>
    <row r="60" spans="1:23" ht="16.8" x14ac:dyDescent="0.3">
      <c r="A60" s="19" t="s">
        <v>23</v>
      </c>
      <c r="B60" s="21">
        <v>55</v>
      </c>
      <c r="C60" s="3" t="s">
        <v>75</v>
      </c>
      <c r="D60" s="26" t="s">
        <v>129</v>
      </c>
      <c r="E60" s="3" t="s">
        <v>130</v>
      </c>
      <c r="F60" s="3" t="s">
        <v>131</v>
      </c>
      <c r="G60" s="5">
        <v>105.119337</v>
      </c>
      <c r="H60" s="5">
        <v>10.712583</v>
      </c>
      <c r="I60" s="5">
        <v>105.11832699999999</v>
      </c>
      <c r="J60" s="5">
        <v>10.713708</v>
      </c>
      <c r="K60" s="3">
        <v>200</v>
      </c>
      <c r="L60" s="3"/>
      <c r="M60" s="13"/>
      <c r="N60" s="3"/>
      <c r="O60" s="13"/>
      <c r="P60" s="3"/>
      <c r="Q60" s="3">
        <v>1</v>
      </c>
      <c r="R60" s="3"/>
      <c r="S60" s="3"/>
      <c r="T60" s="3" t="s">
        <v>193</v>
      </c>
      <c r="U60" s="10">
        <v>1</v>
      </c>
      <c r="V60" s="10" t="s">
        <v>664</v>
      </c>
      <c r="W60" s="10" t="s">
        <v>739</v>
      </c>
    </row>
    <row r="61" spans="1:23" ht="16.8" x14ac:dyDescent="0.3">
      <c r="B61" s="21">
        <v>56</v>
      </c>
      <c r="C61" s="63" t="s">
        <v>75</v>
      </c>
      <c r="D61" s="66" t="s">
        <v>729</v>
      </c>
      <c r="E61" s="63" t="s">
        <v>730</v>
      </c>
      <c r="F61" s="63" t="s">
        <v>731</v>
      </c>
      <c r="G61" s="62">
        <v>105.09862099999999</v>
      </c>
      <c r="H61" s="62">
        <v>10.695729</v>
      </c>
      <c r="I61" s="62">
        <v>105.098102</v>
      </c>
      <c r="J61" s="62">
        <v>10.694855</v>
      </c>
      <c r="K61" s="63">
        <v>250</v>
      </c>
      <c r="L61" s="63"/>
      <c r="M61" s="16"/>
      <c r="N61" s="63"/>
      <c r="O61" s="16"/>
      <c r="P61" s="63"/>
      <c r="Q61" s="63">
        <v>1</v>
      </c>
      <c r="R61" s="63">
        <v>1</v>
      </c>
      <c r="S61" s="63"/>
      <c r="T61" s="67" t="s">
        <v>732</v>
      </c>
      <c r="U61" s="10">
        <v>1</v>
      </c>
      <c r="V61" s="10" t="s">
        <v>664</v>
      </c>
      <c r="W61" s="10" t="s">
        <v>739</v>
      </c>
    </row>
    <row r="62" spans="1:23" ht="16.8" x14ac:dyDescent="0.3">
      <c r="B62" s="21">
        <v>57</v>
      </c>
      <c r="C62" s="3" t="s">
        <v>75</v>
      </c>
      <c r="D62" s="27" t="s">
        <v>729</v>
      </c>
      <c r="E62" s="3" t="s">
        <v>731</v>
      </c>
      <c r="F62" s="3" t="s">
        <v>733</v>
      </c>
      <c r="G62" s="5">
        <v>105.098102</v>
      </c>
      <c r="H62" s="5">
        <v>10.694855</v>
      </c>
      <c r="I62" s="5">
        <v>105.09691100000001</v>
      </c>
      <c r="J62" s="5">
        <v>10.693953</v>
      </c>
      <c r="K62" s="3">
        <v>200</v>
      </c>
      <c r="L62" s="3"/>
      <c r="M62" s="13"/>
      <c r="N62" s="3"/>
      <c r="O62" s="13"/>
      <c r="P62" s="3"/>
      <c r="Q62" s="3">
        <v>1</v>
      </c>
      <c r="R62" s="3"/>
      <c r="S62" s="3"/>
      <c r="T62" s="1" t="s">
        <v>734</v>
      </c>
      <c r="U62" s="10">
        <v>1</v>
      </c>
      <c r="V62" s="10" t="s">
        <v>664</v>
      </c>
      <c r="W62" s="10" t="s">
        <v>739</v>
      </c>
    </row>
    <row r="63" spans="1:23" ht="16.8" x14ac:dyDescent="0.3">
      <c r="B63" s="21">
        <v>58</v>
      </c>
      <c r="C63" s="3" t="s">
        <v>75</v>
      </c>
      <c r="D63" s="27" t="s">
        <v>729</v>
      </c>
      <c r="E63" s="3" t="s">
        <v>733</v>
      </c>
      <c r="F63" s="3" t="s">
        <v>735</v>
      </c>
      <c r="G63" s="5">
        <v>105.09691100000001</v>
      </c>
      <c r="H63" s="5">
        <v>10.693953</v>
      </c>
      <c r="I63" s="5">
        <v>105.09559299999999</v>
      </c>
      <c r="J63" s="5">
        <v>10.69294</v>
      </c>
      <c r="K63" s="3">
        <v>200</v>
      </c>
      <c r="L63" s="3"/>
      <c r="M63" s="13"/>
      <c r="N63" s="3"/>
      <c r="O63" s="13"/>
      <c r="P63" s="3"/>
      <c r="Q63" s="3">
        <v>1</v>
      </c>
      <c r="R63" s="3"/>
      <c r="S63" s="3"/>
      <c r="T63" s="1" t="s">
        <v>734</v>
      </c>
      <c r="U63" s="10">
        <v>1</v>
      </c>
      <c r="V63" s="10" t="s">
        <v>664</v>
      </c>
      <c r="W63" s="10" t="s">
        <v>739</v>
      </c>
    </row>
    <row r="64" spans="1:23" ht="16.8" x14ac:dyDescent="0.3">
      <c r="B64" s="21">
        <v>59</v>
      </c>
      <c r="C64" s="3" t="s">
        <v>75</v>
      </c>
      <c r="D64" s="27" t="s">
        <v>729</v>
      </c>
      <c r="E64" s="3" t="s">
        <v>735</v>
      </c>
      <c r="F64" s="3" t="s">
        <v>736</v>
      </c>
      <c r="G64" s="5">
        <v>105.09559299999999</v>
      </c>
      <c r="H64" s="5">
        <v>10.69294</v>
      </c>
      <c r="I64" s="5">
        <v>105.095358</v>
      </c>
      <c r="J64" s="5">
        <v>10.693320999999999</v>
      </c>
      <c r="K64" s="3">
        <v>200</v>
      </c>
      <c r="L64" s="3"/>
      <c r="M64" s="13"/>
      <c r="N64" s="3">
        <v>1</v>
      </c>
      <c r="O64" s="13"/>
      <c r="P64" s="3"/>
      <c r="Q64" s="3">
        <v>1</v>
      </c>
      <c r="R64" s="3"/>
      <c r="S64" s="3"/>
      <c r="T64" s="1" t="s">
        <v>734</v>
      </c>
      <c r="U64" s="10">
        <v>1</v>
      </c>
      <c r="V64" s="10" t="s">
        <v>664</v>
      </c>
      <c r="W64" s="10" t="s">
        <v>739</v>
      </c>
    </row>
    <row r="65" spans="2:23" ht="16.8" x14ac:dyDescent="0.3">
      <c r="B65" s="21">
        <v>60</v>
      </c>
      <c r="C65" s="3" t="s">
        <v>75</v>
      </c>
      <c r="D65" s="27" t="s">
        <v>729</v>
      </c>
      <c r="E65" s="3" t="s">
        <v>736</v>
      </c>
      <c r="F65" s="3" t="s">
        <v>737</v>
      </c>
      <c r="G65" s="5">
        <v>105.095358</v>
      </c>
      <c r="H65" s="5">
        <v>10.693320999999999</v>
      </c>
      <c r="I65" s="5">
        <v>105.096677</v>
      </c>
      <c r="J65" s="5">
        <v>10.694317</v>
      </c>
      <c r="K65" s="3">
        <v>200</v>
      </c>
      <c r="L65" s="3"/>
      <c r="M65" s="13"/>
      <c r="N65" s="3"/>
      <c r="O65" s="13"/>
      <c r="P65" s="3"/>
      <c r="Q65" s="3">
        <v>1</v>
      </c>
      <c r="R65" s="3"/>
      <c r="S65" s="3"/>
      <c r="T65" s="1" t="s">
        <v>734</v>
      </c>
      <c r="U65" s="10">
        <v>1</v>
      </c>
      <c r="V65" s="10" t="s">
        <v>664</v>
      </c>
      <c r="W65" s="10" t="s">
        <v>739</v>
      </c>
    </row>
  </sheetData>
  <autoFilter ref="A5:U60" xr:uid="{648340D5-4AC0-4692-BFD3-035EEDBC41B7}"/>
  <mergeCells count="16">
    <mergeCell ref="B1:U1"/>
    <mergeCell ref="B4:B5"/>
    <mergeCell ref="C4:C5"/>
    <mergeCell ref="D4:D5"/>
    <mergeCell ref="E4:E5"/>
    <mergeCell ref="F4:F5"/>
    <mergeCell ref="G4:H4"/>
    <mergeCell ref="S4:S5"/>
    <mergeCell ref="T4:T5"/>
    <mergeCell ref="U4:U5"/>
    <mergeCell ref="I2:J2"/>
    <mergeCell ref="V4:W4"/>
    <mergeCell ref="I3:J3"/>
    <mergeCell ref="B2:H2"/>
    <mergeCell ref="B3:H3"/>
    <mergeCell ref="I4:J4"/>
  </mergeCells>
  <dataValidations count="1">
    <dataValidation type="list" allowBlank="1" showInputMessage="1" showErrorMessage="1" sqref="U6:U363" xr:uid="{9C9D31C7-A533-4142-9771-22E54CA269E7}">
      <formula1>"1,2,3"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E9B7-0F6C-4E7C-ACF1-54E7322F5ADC}">
  <sheetPr>
    <tabColor rgb="FF00B0F0"/>
  </sheetPr>
  <dimension ref="A1:W89"/>
  <sheetViews>
    <sheetView topLeftCell="J1" zoomScale="77" zoomScaleNormal="77" workbookViewId="0">
      <selection activeCell="V4" sqref="V4:W5"/>
    </sheetView>
  </sheetViews>
  <sheetFormatPr defaultRowHeight="14.4" x14ac:dyDescent="0.3"/>
  <cols>
    <col min="1" max="1" width="68.33203125" hidden="1" customWidth="1"/>
    <col min="2" max="2" width="5.88671875" bestFit="1" customWidth="1"/>
    <col min="3" max="3" width="10.44140625" customWidth="1"/>
    <col min="4" max="4" width="15.44140625" bestFit="1" customWidth="1"/>
    <col min="5" max="5" width="45.88671875" customWidth="1"/>
    <col min="6" max="6" width="41.33203125" customWidth="1"/>
    <col min="7" max="10" width="14.6640625" style="7" bestFit="1" customWidth="1"/>
    <col min="11" max="11" width="18.44140625" customWidth="1"/>
    <col min="12" max="13" width="12.77734375" customWidth="1"/>
    <col min="14" max="14" width="7.88671875" bestFit="1" customWidth="1"/>
    <col min="15" max="15" width="7.88671875" customWidth="1"/>
    <col min="16" max="16" width="8.44140625" bestFit="1" customWidth="1"/>
    <col min="17" max="17" width="9.6640625" bestFit="1" customWidth="1"/>
    <col min="18" max="18" width="6.33203125" bestFit="1" customWidth="1"/>
    <col min="19" max="20" width="32.33203125" customWidth="1"/>
    <col min="21" max="21" width="16.44140625" customWidth="1"/>
    <col min="22" max="22" width="15.6640625" customWidth="1"/>
    <col min="23" max="23" width="32.44140625" bestFit="1" customWidth="1"/>
  </cols>
  <sheetData>
    <row r="1" spans="1:23" ht="46.2" customHeight="1" x14ac:dyDescent="0.3">
      <c r="A1" s="19"/>
      <c r="B1" s="101" t="s">
        <v>68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3" ht="16.8" x14ac:dyDescent="0.3">
      <c r="A2" s="19"/>
      <c r="B2" s="102"/>
      <c r="C2" s="102"/>
      <c r="D2" s="102"/>
      <c r="E2" s="102"/>
      <c r="F2" s="102"/>
      <c r="G2" s="102"/>
      <c r="H2" s="102"/>
      <c r="I2" s="103"/>
      <c r="J2" s="103"/>
      <c r="K2" s="29"/>
      <c r="L2" s="29"/>
      <c r="M2" s="29"/>
      <c r="N2" s="29"/>
      <c r="O2" s="29"/>
      <c r="P2" s="29"/>
      <c r="Q2" s="29"/>
      <c r="R2" s="29"/>
      <c r="S2" s="22"/>
      <c r="T2" s="22"/>
    </row>
    <row r="3" spans="1:23" ht="16.8" x14ac:dyDescent="0.3">
      <c r="A3" s="19"/>
      <c r="B3" s="105" t="s">
        <v>74</v>
      </c>
      <c r="C3" s="105"/>
      <c r="D3" s="105"/>
      <c r="E3" s="105"/>
      <c r="F3" s="105"/>
      <c r="G3" s="105"/>
      <c r="H3" s="105"/>
      <c r="I3" s="104" t="s">
        <v>395</v>
      </c>
      <c r="J3" s="104"/>
      <c r="K3" s="25">
        <f t="shared" ref="K3:R3" ca="1" si="0">SUMIF($C$6:$C$4310,"Châu Phú",K6:K4309)</f>
        <v>18000</v>
      </c>
      <c r="L3" s="25">
        <f t="shared" ca="1" si="0"/>
        <v>0</v>
      </c>
      <c r="M3" s="25">
        <f t="shared" ca="1" si="0"/>
        <v>0</v>
      </c>
      <c r="N3" s="25">
        <f t="shared" ca="1" si="0"/>
        <v>21</v>
      </c>
      <c r="O3" s="25">
        <f t="shared" ca="1" si="0"/>
        <v>0</v>
      </c>
      <c r="P3" s="25">
        <f t="shared" ca="1" si="0"/>
        <v>0</v>
      </c>
      <c r="Q3" s="25">
        <f t="shared" ca="1" si="0"/>
        <v>84</v>
      </c>
      <c r="R3" s="25">
        <f t="shared" ca="1" si="0"/>
        <v>5</v>
      </c>
      <c r="S3" s="22"/>
      <c r="T3" s="22"/>
    </row>
    <row r="4" spans="1:23" ht="42.6" customHeight="1" x14ac:dyDescent="0.3">
      <c r="A4" s="18" t="s">
        <v>6</v>
      </c>
      <c r="B4" s="94" t="s">
        <v>3</v>
      </c>
      <c r="C4" s="94" t="s">
        <v>7</v>
      </c>
      <c r="D4" s="94" t="s">
        <v>8</v>
      </c>
      <c r="E4" s="94" t="s">
        <v>9</v>
      </c>
      <c r="F4" s="94" t="s">
        <v>10</v>
      </c>
      <c r="G4" s="94" t="s">
        <v>65</v>
      </c>
      <c r="H4" s="94"/>
      <c r="I4" s="94" t="s">
        <v>66</v>
      </c>
      <c r="J4" s="94"/>
      <c r="K4" s="23" t="s">
        <v>69</v>
      </c>
      <c r="L4" s="23" t="s">
        <v>70</v>
      </c>
      <c r="M4" s="23" t="s">
        <v>71</v>
      </c>
      <c r="N4" s="23" t="s">
        <v>13</v>
      </c>
      <c r="O4" s="23" t="s">
        <v>72</v>
      </c>
      <c r="P4" s="23" t="s">
        <v>73</v>
      </c>
      <c r="Q4" s="23" t="s">
        <v>14</v>
      </c>
      <c r="R4" s="23" t="s">
        <v>15</v>
      </c>
      <c r="S4" s="94" t="s">
        <v>0</v>
      </c>
      <c r="T4" s="96" t="s">
        <v>67</v>
      </c>
      <c r="U4" s="107" t="s">
        <v>606</v>
      </c>
      <c r="V4" s="93" t="s">
        <v>661</v>
      </c>
      <c r="W4" s="93"/>
    </row>
    <row r="5" spans="1:23" ht="16.8" x14ac:dyDescent="0.3">
      <c r="A5" s="18"/>
      <c r="B5" s="95"/>
      <c r="C5" s="95"/>
      <c r="D5" s="95"/>
      <c r="E5" s="95"/>
      <c r="F5" s="95"/>
      <c r="G5" s="9" t="s">
        <v>11</v>
      </c>
      <c r="H5" s="9" t="s">
        <v>12</v>
      </c>
      <c r="I5" s="9" t="s">
        <v>11</v>
      </c>
      <c r="J5" s="9" t="s">
        <v>12</v>
      </c>
      <c r="K5" s="4">
        <f>SUBTOTAL(9,K6:K3998)</f>
        <v>18000</v>
      </c>
      <c r="L5" s="4">
        <f t="shared" ref="L5:R5" si="1">SUBTOTAL(9,L6:L3998)</f>
        <v>0</v>
      </c>
      <c r="M5" s="4">
        <f t="shared" si="1"/>
        <v>0</v>
      </c>
      <c r="N5" s="4">
        <f t="shared" si="1"/>
        <v>21</v>
      </c>
      <c r="O5" s="4">
        <f t="shared" si="1"/>
        <v>0</v>
      </c>
      <c r="P5" s="4">
        <f t="shared" si="1"/>
        <v>0</v>
      </c>
      <c r="Q5" s="4">
        <f t="shared" si="1"/>
        <v>84</v>
      </c>
      <c r="R5" s="4">
        <f t="shared" si="1"/>
        <v>5</v>
      </c>
      <c r="S5" s="95"/>
      <c r="T5" s="97"/>
      <c r="U5" s="107"/>
      <c r="V5" s="59" t="s">
        <v>662</v>
      </c>
      <c r="W5" s="59" t="s">
        <v>663</v>
      </c>
    </row>
    <row r="6" spans="1:23" ht="18" x14ac:dyDescent="0.3">
      <c r="A6" s="20" t="s">
        <v>45</v>
      </c>
      <c r="B6" s="21">
        <v>1</v>
      </c>
      <c r="C6" s="3" t="s">
        <v>391</v>
      </c>
      <c r="D6" s="3" t="s">
        <v>495</v>
      </c>
      <c r="E6" s="3" t="s">
        <v>496</v>
      </c>
      <c r="F6" s="28" t="s">
        <v>497</v>
      </c>
      <c r="G6" s="5">
        <v>105.14713999999999</v>
      </c>
      <c r="H6" s="5">
        <v>10.541370000000001</v>
      </c>
      <c r="I6" s="5">
        <v>105.14659</v>
      </c>
      <c r="J6" s="5">
        <v>10.54209</v>
      </c>
      <c r="K6" s="3">
        <v>160</v>
      </c>
      <c r="L6" s="3"/>
      <c r="M6" s="15"/>
      <c r="N6" s="3"/>
      <c r="O6" s="13"/>
      <c r="P6" s="3"/>
      <c r="Q6" s="3">
        <v>1</v>
      </c>
      <c r="R6" s="27">
        <v>1</v>
      </c>
      <c r="S6" s="3"/>
      <c r="T6" s="47" t="s">
        <v>596</v>
      </c>
      <c r="U6" s="49">
        <v>1</v>
      </c>
      <c r="V6" s="10" t="s">
        <v>664</v>
      </c>
      <c r="W6" s="10" t="s">
        <v>680</v>
      </c>
    </row>
    <row r="7" spans="1:23" ht="18" x14ac:dyDescent="0.3">
      <c r="A7" s="19" t="s">
        <v>46</v>
      </c>
      <c r="B7" s="21">
        <v>2</v>
      </c>
      <c r="C7" s="3" t="s">
        <v>391</v>
      </c>
      <c r="D7" s="3" t="s">
        <v>495</v>
      </c>
      <c r="E7" s="3" t="s">
        <v>497</v>
      </c>
      <c r="F7" s="28" t="s">
        <v>498</v>
      </c>
      <c r="G7" s="5">
        <v>105.14659</v>
      </c>
      <c r="H7" s="5">
        <v>10.54209</v>
      </c>
      <c r="I7" s="5">
        <v>105.14618</v>
      </c>
      <c r="J7" s="5">
        <v>10.543430000000001</v>
      </c>
      <c r="K7" s="3">
        <v>210</v>
      </c>
      <c r="L7" s="3"/>
      <c r="M7" s="15"/>
      <c r="N7" s="3">
        <v>1</v>
      </c>
      <c r="O7" s="13"/>
      <c r="P7" s="3"/>
      <c r="Q7" s="3">
        <v>1</v>
      </c>
      <c r="R7" s="27"/>
      <c r="S7" s="3"/>
      <c r="T7" s="47" t="s">
        <v>596</v>
      </c>
      <c r="U7" s="49">
        <v>1</v>
      </c>
      <c r="V7" s="10" t="s">
        <v>664</v>
      </c>
      <c r="W7" s="10" t="s">
        <v>680</v>
      </c>
    </row>
    <row r="8" spans="1:23" ht="18" x14ac:dyDescent="0.3">
      <c r="A8" s="19" t="s">
        <v>47</v>
      </c>
      <c r="B8" s="21">
        <v>3</v>
      </c>
      <c r="C8" s="3" t="s">
        <v>391</v>
      </c>
      <c r="D8" s="3" t="s">
        <v>495</v>
      </c>
      <c r="E8" s="3" t="s">
        <v>498</v>
      </c>
      <c r="F8" s="28" t="s">
        <v>499</v>
      </c>
      <c r="G8" s="5">
        <v>105.14618</v>
      </c>
      <c r="H8" s="5">
        <v>10.543430000000001</v>
      </c>
      <c r="I8" s="5">
        <v>105.1474</v>
      </c>
      <c r="J8" s="5">
        <v>10.54482</v>
      </c>
      <c r="K8" s="3">
        <v>210</v>
      </c>
      <c r="L8" s="3"/>
      <c r="M8" s="15"/>
      <c r="N8" s="3"/>
      <c r="O8" s="13"/>
      <c r="P8" s="3"/>
      <c r="Q8" s="3">
        <v>1</v>
      </c>
      <c r="R8" s="27"/>
      <c r="S8" s="3"/>
      <c r="T8" s="47" t="s">
        <v>596</v>
      </c>
      <c r="U8" s="49">
        <v>1</v>
      </c>
      <c r="V8" s="10" t="s">
        <v>664</v>
      </c>
      <c r="W8" s="10" t="s">
        <v>680</v>
      </c>
    </row>
    <row r="9" spans="1:23" ht="18" x14ac:dyDescent="0.3">
      <c r="A9" s="19" t="s">
        <v>47</v>
      </c>
      <c r="B9" s="21">
        <v>4</v>
      </c>
      <c r="C9" s="3" t="s">
        <v>391</v>
      </c>
      <c r="D9" s="3" t="s">
        <v>495</v>
      </c>
      <c r="E9" s="3" t="s">
        <v>499</v>
      </c>
      <c r="F9" s="28" t="s">
        <v>500</v>
      </c>
      <c r="G9" s="5">
        <v>105.1474</v>
      </c>
      <c r="H9" s="5">
        <v>10.54482</v>
      </c>
      <c r="I9" s="5">
        <v>105.14863</v>
      </c>
      <c r="J9" s="5">
        <v>10.54627</v>
      </c>
      <c r="K9" s="3">
        <v>210</v>
      </c>
      <c r="L9" s="3"/>
      <c r="M9" s="15"/>
      <c r="N9" s="3"/>
      <c r="O9" s="13"/>
      <c r="P9" s="3"/>
      <c r="Q9" s="3">
        <v>1</v>
      </c>
      <c r="R9" s="27"/>
      <c r="S9" s="3"/>
      <c r="T9" s="47" t="s">
        <v>596</v>
      </c>
      <c r="U9" s="49">
        <v>1</v>
      </c>
      <c r="V9" s="10" t="s">
        <v>664</v>
      </c>
      <c r="W9" s="10" t="s">
        <v>680</v>
      </c>
    </row>
    <row r="10" spans="1:23" ht="18" x14ac:dyDescent="0.3">
      <c r="A10" s="19" t="s">
        <v>47</v>
      </c>
      <c r="B10" s="21">
        <v>5</v>
      </c>
      <c r="C10" s="3" t="s">
        <v>391</v>
      </c>
      <c r="D10" s="3" t="s">
        <v>495</v>
      </c>
      <c r="E10" s="3" t="s">
        <v>500</v>
      </c>
      <c r="F10" s="28" t="s">
        <v>501</v>
      </c>
      <c r="G10" s="5">
        <v>105.14863</v>
      </c>
      <c r="H10" s="5">
        <v>10.54627</v>
      </c>
      <c r="I10" s="5">
        <v>105.14921</v>
      </c>
      <c r="J10" s="5">
        <v>10.54693</v>
      </c>
      <c r="K10" s="3">
        <v>130</v>
      </c>
      <c r="L10" s="3"/>
      <c r="M10" s="15"/>
      <c r="N10" s="3"/>
      <c r="O10" s="13"/>
      <c r="P10" s="3"/>
      <c r="Q10" s="3">
        <v>1</v>
      </c>
      <c r="R10" s="27"/>
      <c r="S10" s="3"/>
      <c r="T10" s="47" t="s">
        <v>596</v>
      </c>
      <c r="U10" s="49">
        <v>1</v>
      </c>
      <c r="V10" s="10" t="s">
        <v>664</v>
      </c>
      <c r="W10" s="10" t="s">
        <v>680</v>
      </c>
    </row>
    <row r="11" spans="1:23" ht="18" x14ac:dyDescent="0.3">
      <c r="A11" s="19" t="s">
        <v>47</v>
      </c>
      <c r="B11" s="21">
        <v>6</v>
      </c>
      <c r="C11" s="3" t="s">
        <v>391</v>
      </c>
      <c r="D11" s="3" t="s">
        <v>495</v>
      </c>
      <c r="E11" s="3" t="s">
        <v>501</v>
      </c>
      <c r="F11" s="28" t="s">
        <v>502</v>
      </c>
      <c r="G11" s="5">
        <v>105.14921</v>
      </c>
      <c r="H11" s="5">
        <v>10.54693</v>
      </c>
      <c r="I11" s="5">
        <v>105.15115</v>
      </c>
      <c r="J11" s="5">
        <v>10.549200000000001</v>
      </c>
      <c r="K11" s="3">
        <v>270</v>
      </c>
      <c r="L11" s="3"/>
      <c r="M11" s="15"/>
      <c r="N11" s="3">
        <v>1</v>
      </c>
      <c r="O11" s="13"/>
      <c r="P11" s="3"/>
      <c r="Q11" s="3">
        <v>1</v>
      </c>
      <c r="R11" s="27"/>
      <c r="S11" s="3"/>
      <c r="T11" s="47" t="s">
        <v>596</v>
      </c>
      <c r="U11" s="49">
        <v>1</v>
      </c>
      <c r="V11" s="10" t="s">
        <v>664</v>
      </c>
      <c r="W11" s="10" t="s">
        <v>680</v>
      </c>
    </row>
    <row r="12" spans="1:23" ht="18" x14ac:dyDescent="0.3">
      <c r="A12" s="19" t="s">
        <v>47</v>
      </c>
      <c r="B12" s="21">
        <v>7</v>
      </c>
      <c r="C12" s="3" t="s">
        <v>391</v>
      </c>
      <c r="D12" s="3" t="s">
        <v>495</v>
      </c>
      <c r="E12" s="3" t="s">
        <v>502</v>
      </c>
      <c r="F12" s="28" t="s">
        <v>503</v>
      </c>
      <c r="G12" s="5">
        <v>105.15115</v>
      </c>
      <c r="H12" s="5">
        <v>10.549200000000001</v>
      </c>
      <c r="I12" s="5">
        <v>105.15303</v>
      </c>
      <c r="J12" s="5">
        <v>10.55134</v>
      </c>
      <c r="K12" s="3">
        <v>270</v>
      </c>
      <c r="L12" s="3"/>
      <c r="M12" s="15"/>
      <c r="N12" s="3"/>
      <c r="O12" s="13"/>
      <c r="P12" s="3"/>
      <c r="Q12" s="3">
        <v>1</v>
      </c>
      <c r="R12" s="27"/>
      <c r="S12" s="3"/>
      <c r="T12" s="47" t="s">
        <v>596</v>
      </c>
      <c r="U12" s="49">
        <v>1</v>
      </c>
      <c r="V12" s="10" t="s">
        <v>664</v>
      </c>
      <c r="W12" s="10" t="s">
        <v>680</v>
      </c>
    </row>
    <row r="13" spans="1:23" ht="18" x14ac:dyDescent="0.3">
      <c r="A13" s="19" t="s">
        <v>47</v>
      </c>
      <c r="B13" s="21">
        <v>8</v>
      </c>
      <c r="C13" s="3" t="s">
        <v>391</v>
      </c>
      <c r="D13" s="3" t="s">
        <v>495</v>
      </c>
      <c r="E13" s="3" t="s">
        <v>503</v>
      </c>
      <c r="F13" s="28" t="s">
        <v>504</v>
      </c>
      <c r="G13" s="5">
        <v>105.15303</v>
      </c>
      <c r="H13" s="5">
        <v>10.55134</v>
      </c>
      <c r="I13" s="5">
        <v>105.155</v>
      </c>
      <c r="J13" s="5">
        <v>10.553699999999999</v>
      </c>
      <c r="K13" s="3">
        <v>320</v>
      </c>
      <c r="L13" s="3"/>
      <c r="M13" s="13"/>
      <c r="N13" s="3"/>
      <c r="O13" s="13"/>
      <c r="P13" s="3"/>
      <c r="Q13" s="3">
        <v>1</v>
      </c>
      <c r="R13" s="27"/>
      <c r="S13" s="3"/>
      <c r="T13" s="47" t="s">
        <v>596</v>
      </c>
      <c r="U13" s="49">
        <v>1</v>
      </c>
      <c r="V13" s="10" t="s">
        <v>664</v>
      </c>
      <c r="W13" s="10" t="s">
        <v>680</v>
      </c>
    </row>
    <row r="14" spans="1:23" ht="18" x14ac:dyDescent="0.3">
      <c r="A14" s="19" t="s">
        <v>47</v>
      </c>
      <c r="B14" s="21">
        <v>9</v>
      </c>
      <c r="C14" s="3" t="s">
        <v>391</v>
      </c>
      <c r="D14" s="3" t="s">
        <v>495</v>
      </c>
      <c r="E14" s="3" t="s">
        <v>504</v>
      </c>
      <c r="F14" s="28" t="s">
        <v>505</v>
      </c>
      <c r="G14" s="5">
        <v>105.155</v>
      </c>
      <c r="H14" s="5">
        <v>10.553699999999999</v>
      </c>
      <c r="I14" s="5">
        <v>105.15560000000001</v>
      </c>
      <c r="J14" s="5">
        <v>10.55443</v>
      </c>
      <c r="K14" s="3">
        <v>130</v>
      </c>
      <c r="L14" s="3"/>
      <c r="M14" s="13"/>
      <c r="N14" s="3"/>
      <c r="O14" s="13"/>
      <c r="P14" s="3"/>
      <c r="Q14" s="3">
        <v>1</v>
      </c>
      <c r="R14" s="27"/>
      <c r="S14" s="3"/>
      <c r="T14" s="47" t="s">
        <v>596</v>
      </c>
      <c r="U14" s="49">
        <v>1</v>
      </c>
      <c r="V14" s="10" t="s">
        <v>664</v>
      </c>
      <c r="W14" s="10" t="s">
        <v>680</v>
      </c>
    </row>
    <row r="15" spans="1:23" ht="18" x14ac:dyDescent="0.3">
      <c r="A15" s="19" t="s">
        <v>47</v>
      </c>
      <c r="B15" s="21">
        <v>10</v>
      </c>
      <c r="C15" s="3" t="s">
        <v>391</v>
      </c>
      <c r="D15" s="3" t="s">
        <v>495</v>
      </c>
      <c r="E15" s="3" t="s">
        <v>505</v>
      </c>
      <c r="F15" s="28" t="s">
        <v>506</v>
      </c>
      <c r="G15" s="5">
        <v>105.15560000000001</v>
      </c>
      <c r="H15" s="5">
        <v>10.55443</v>
      </c>
      <c r="I15" s="5">
        <v>105.15669</v>
      </c>
      <c r="J15" s="5">
        <v>10.555669999999999</v>
      </c>
      <c r="K15" s="3">
        <v>210</v>
      </c>
      <c r="L15" s="3"/>
      <c r="M15" s="13"/>
      <c r="N15" s="3">
        <v>1</v>
      </c>
      <c r="O15" s="13"/>
      <c r="P15" s="3"/>
      <c r="Q15" s="3">
        <v>1</v>
      </c>
      <c r="R15" s="27"/>
      <c r="S15" s="3"/>
      <c r="T15" s="47" t="s">
        <v>596</v>
      </c>
      <c r="U15" s="49">
        <v>1</v>
      </c>
      <c r="V15" s="10" t="s">
        <v>664</v>
      </c>
      <c r="W15" s="10" t="s">
        <v>680</v>
      </c>
    </row>
    <row r="16" spans="1:23" ht="18" x14ac:dyDescent="0.3">
      <c r="A16" s="19" t="s">
        <v>47</v>
      </c>
      <c r="B16" s="21">
        <v>11</v>
      </c>
      <c r="C16" s="3" t="s">
        <v>391</v>
      </c>
      <c r="D16" s="3" t="s">
        <v>495</v>
      </c>
      <c r="E16" s="3" t="s">
        <v>506</v>
      </c>
      <c r="F16" s="28" t="s">
        <v>507</v>
      </c>
      <c r="G16" s="5">
        <v>105.15669</v>
      </c>
      <c r="H16" s="5">
        <v>10.555669999999999</v>
      </c>
      <c r="I16" s="5">
        <v>105.15752999999999</v>
      </c>
      <c r="J16" s="5">
        <v>10.556699999999999</v>
      </c>
      <c r="K16" s="3">
        <v>160</v>
      </c>
      <c r="L16" s="3"/>
      <c r="M16" s="13"/>
      <c r="N16" s="3"/>
      <c r="O16" s="13"/>
      <c r="P16" s="3"/>
      <c r="Q16" s="3">
        <v>1</v>
      </c>
      <c r="R16" s="27"/>
      <c r="S16" s="3"/>
      <c r="T16" s="47" t="s">
        <v>596</v>
      </c>
      <c r="U16" s="49">
        <v>1</v>
      </c>
      <c r="V16" s="10" t="s">
        <v>664</v>
      </c>
      <c r="W16" s="10" t="s">
        <v>680</v>
      </c>
    </row>
    <row r="17" spans="1:23" ht="18" x14ac:dyDescent="0.3">
      <c r="A17" s="19" t="s">
        <v>48</v>
      </c>
      <c r="B17" s="21">
        <v>12</v>
      </c>
      <c r="C17" s="3" t="s">
        <v>391</v>
      </c>
      <c r="D17" s="3" t="s">
        <v>495</v>
      </c>
      <c r="E17" s="3" t="s">
        <v>507</v>
      </c>
      <c r="F17" s="28" t="s">
        <v>508</v>
      </c>
      <c r="G17" s="5">
        <v>105.15752999999999</v>
      </c>
      <c r="H17" s="5">
        <v>10.556699999999999</v>
      </c>
      <c r="I17" s="5">
        <v>105.15908</v>
      </c>
      <c r="J17" s="5">
        <v>10.55846</v>
      </c>
      <c r="K17" s="3">
        <v>250</v>
      </c>
      <c r="L17" s="3"/>
      <c r="M17" s="13"/>
      <c r="N17" s="3"/>
      <c r="O17" s="13"/>
      <c r="P17" s="3"/>
      <c r="Q17" s="3">
        <v>1</v>
      </c>
      <c r="R17" s="27"/>
      <c r="S17" s="3"/>
      <c r="T17" s="47" t="s">
        <v>596</v>
      </c>
      <c r="U17" s="49">
        <v>1</v>
      </c>
      <c r="V17" s="10" t="s">
        <v>664</v>
      </c>
      <c r="W17" s="10" t="s">
        <v>680</v>
      </c>
    </row>
    <row r="18" spans="1:23" ht="18" x14ac:dyDescent="0.3">
      <c r="A18" s="19" t="s">
        <v>48</v>
      </c>
      <c r="B18" s="21">
        <v>13</v>
      </c>
      <c r="C18" s="3" t="s">
        <v>391</v>
      </c>
      <c r="D18" s="3" t="s">
        <v>495</v>
      </c>
      <c r="E18" s="3" t="s">
        <v>508</v>
      </c>
      <c r="F18" s="28" t="s">
        <v>509</v>
      </c>
      <c r="G18" s="5">
        <v>105.15908</v>
      </c>
      <c r="H18" s="5">
        <v>10.55846</v>
      </c>
      <c r="I18" s="5">
        <v>105.15953</v>
      </c>
      <c r="J18" s="5">
        <v>10.55902</v>
      </c>
      <c r="K18" s="3">
        <v>250</v>
      </c>
      <c r="L18" s="3"/>
      <c r="M18" s="13"/>
      <c r="N18" s="3"/>
      <c r="O18" s="13"/>
      <c r="P18" s="3"/>
      <c r="Q18" s="3">
        <v>1</v>
      </c>
      <c r="R18" s="27"/>
      <c r="S18" s="3"/>
      <c r="T18" s="47" t="s">
        <v>596</v>
      </c>
      <c r="U18" s="49">
        <v>1</v>
      </c>
      <c r="V18" s="10" t="s">
        <v>664</v>
      </c>
      <c r="W18" s="10" t="s">
        <v>680</v>
      </c>
    </row>
    <row r="19" spans="1:23" ht="18" x14ac:dyDescent="0.3">
      <c r="A19" s="19" t="s">
        <v>48</v>
      </c>
      <c r="B19" s="21">
        <v>14</v>
      </c>
      <c r="C19" s="3" t="s">
        <v>391</v>
      </c>
      <c r="D19" s="3" t="s">
        <v>495</v>
      </c>
      <c r="E19" s="3" t="s">
        <v>509</v>
      </c>
      <c r="F19" s="28" t="s">
        <v>510</v>
      </c>
      <c r="G19" s="5">
        <v>105.15953</v>
      </c>
      <c r="H19" s="5">
        <v>10.55902</v>
      </c>
      <c r="I19" s="5">
        <v>105.16173000000001</v>
      </c>
      <c r="J19" s="5">
        <v>10.56161</v>
      </c>
      <c r="K19" s="3">
        <v>210</v>
      </c>
      <c r="L19" s="3"/>
      <c r="M19" s="13"/>
      <c r="N19" s="3">
        <v>1</v>
      </c>
      <c r="O19" s="13"/>
      <c r="P19" s="3"/>
      <c r="Q19" s="3">
        <v>1</v>
      </c>
      <c r="R19" s="27"/>
      <c r="S19" s="3"/>
      <c r="T19" s="47" t="s">
        <v>596</v>
      </c>
      <c r="U19" s="49">
        <v>1</v>
      </c>
      <c r="V19" s="10" t="s">
        <v>664</v>
      </c>
      <c r="W19" s="10" t="s">
        <v>680</v>
      </c>
    </row>
    <row r="20" spans="1:23" ht="18" x14ac:dyDescent="0.3">
      <c r="A20" s="19" t="s">
        <v>48</v>
      </c>
      <c r="B20" s="21">
        <v>15</v>
      </c>
      <c r="C20" s="3" t="s">
        <v>391</v>
      </c>
      <c r="D20" s="3" t="s">
        <v>495</v>
      </c>
      <c r="E20" s="3" t="s">
        <v>510</v>
      </c>
      <c r="F20" s="28" t="s">
        <v>511</v>
      </c>
      <c r="G20" s="5">
        <v>105.16173000000001</v>
      </c>
      <c r="H20" s="5">
        <v>10.56161</v>
      </c>
      <c r="I20" s="5">
        <v>105.16269</v>
      </c>
      <c r="J20" s="5">
        <v>10.562720000000001</v>
      </c>
      <c r="K20" s="3">
        <v>160</v>
      </c>
      <c r="L20" s="3"/>
      <c r="M20" s="13"/>
      <c r="N20" s="3"/>
      <c r="O20" s="13"/>
      <c r="P20" s="3"/>
      <c r="Q20" s="3">
        <v>1</v>
      </c>
      <c r="R20" s="27"/>
      <c r="S20" s="3"/>
      <c r="T20" s="47" t="s">
        <v>596</v>
      </c>
      <c r="U20" s="49">
        <v>1</v>
      </c>
      <c r="V20" s="10" t="s">
        <v>664</v>
      </c>
      <c r="W20" s="10" t="s">
        <v>680</v>
      </c>
    </row>
    <row r="21" spans="1:23" ht="18" x14ac:dyDescent="0.3">
      <c r="A21" s="19" t="s">
        <v>48</v>
      </c>
      <c r="B21" s="21">
        <v>16</v>
      </c>
      <c r="C21" s="3" t="s">
        <v>391</v>
      </c>
      <c r="D21" s="3" t="s">
        <v>495</v>
      </c>
      <c r="E21" s="3" t="s">
        <v>511</v>
      </c>
      <c r="F21" s="28" t="s">
        <v>512</v>
      </c>
      <c r="G21" s="5">
        <v>105.16269</v>
      </c>
      <c r="H21" s="5">
        <v>10.562720000000001</v>
      </c>
      <c r="I21" s="5">
        <v>105.16452</v>
      </c>
      <c r="J21" s="5">
        <v>10.564870000000001</v>
      </c>
      <c r="K21" s="3">
        <v>250</v>
      </c>
      <c r="L21" s="3"/>
      <c r="M21" s="13"/>
      <c r="N21" s="3"/>
      <c r="O21" s="13"/>
      <c r="P21" s="3"/>
      <c r="Q21" s="3">
        <v>1</v>
      </c>
      <c r="R21" s="27"/>
      <c r="S21" s="3"/>
      <c r="T21" s="47" t="s">
        <v>596</v>
      </c>
      <c r="U21" s="49">
        <v>1</v>
      </c>
      <c r="V21" s="10" t="s">
        <v>664</v>
      </c>
      <c r="W21" s="10" t="s">
        <v>680</v>
      </c>
    </row>
    <row r="22" spans="1:23" ht="18" x14ac:dyDescent="0.3">
      <c r="A22" s="19" t="s">
        <v>48</v>
      </c>
      <c r="B22" s="21">
        <v>17</v>
      </c>
      <c r="C22" s="3" t="s">
        <v>391</v>
      </c>
      <c r="D22" s="3" t="s">
        <v>513</v>
      </c>
      <c r="E22" s="3" t="s">
        <v>514</v>
      </c>
      <c r="F22" s="28" t="s">
        <v>515</v>
      </c>
      <c r="G22" s="5">
        <v>105.17131000000001</v>
      </c>
      <c r="H22" s="5">
        <v>10.57141</v>
      </c>
      <c r="I22" s="5">
        <v>105.17059999999999</v>
      </c>
      <c r="J22" s="5">
        <v>10.572010000000001</v>
      </c>
      <c r="K22" s="3">
        <v>160</v>
      </c>
      <c r="L22" s="3"/>
      <c r="M22" s="13"/>
      <c r="N22" s="3"/>
      <c r="O22" s="13"/>
      <c r="P22" s="3"/>
      <c r="Q22" s="3">
        <v>1</v>
      </c>
      <c r="R22" s="27">
        <v>1</v>
      </c>
      <c r="S22" s="3"/>
      <c r="T22" s="47" t="s">
        <v>597</v>
      </c>
      <c r="U22" s="49">
        <v>1</v>
      </c>
      <c r="V22" s="10" t="s">
        <v>664</v>
      </c>
      <c r="W22" s="10" t="s">
        <v>680</v>
      </c>
    </row>
    <row r="23" spans="1:23" ht="18" x14ac:dyDescent="0.3">
      <c r="A23" s="19" t="s">
        <v>48</v>
      </c>
      <c r="B23" s="21">
        <v>18</v>
      </c>
      <c r="C23" s="3" t="s">
        <v>391</v>
      </c>
      <c r="D23" s="3" t="s">
        <v>513</v>
      </c>
      <c r="E23" s="3" t="s">
        <v>515</v>
      </c>
      <c r="F23" s="28" t="s">
        <v>516</v>
      </c>
      <c r="G23" s="5">
        <v>105.17059999999999</v>
      </c>
      <c r="H23" s="5">
        <v>10.572010000000001</v>
      </c>
      <c r="I23" s="5">
        <v>105.17201</v>
      </c>
      <c r="J23" s="5">
        <v>10.573650000000001</v>
      </c>
      <c r="K23" s="3">
        <v>250</v>
      </c>
      <c r="L23" s="3"/>
      <c r="M23" s="13"/>
      <c r="N23" s="3">
        <v>1</v>
      </c>
      <c r="O23" s="13"/>
      <c r="P23" s="3"/>
      <c r="Q23" s="3">
        <v>1</v>
      </c>
      <c r="R23" s="27"/>
      <c r="S23" s="3"/>
      <c r="T23" s="47" t="s">
        <v>597</v>
      </c>
      <c r="U23" s="49">
        <v>1</v>
      </c>
      <c r="V23" s="10" t="s">
        <v>664</v>
      </c>
      <c r="W23" s="10" t="s">
        <v>680</v>
      </c>
    </row>
    <row r="24" spans="1:23" ht="18" x14ac:dyDescent="0.3">
      <c r="A24" s="19" t="s">
        <v>48</v>
      </c>
      <c r="B24" s="21">
        <v>19</v>
      </c>
      <c r="C24" s="3" t="s">
        <v>391</v>
      </c>
      <c r="D24" s="3" t="s">
        <v>513</v>
      </c>
      <c r="E24" s="3" t="s">
        <v>516</v>
      </c>
      <c r="F24" s="28" t="s">
        <v>517</v>
      </c>
      <c r="G24" s="5">
        <v>105.17201</v>
      </c>
      <c r="H24" s="5">
        <v>10.573650000000001</v>
      </c>
      <c r="I24" s="5">
        <v>105.17332</v>
      </c>
      <c r="J24" s="5">
        <v>10.575060000000001</v>
      </c>
      <c r="K24" s="3">
        <v>240</v>
      </c>
      <c r="L24" s="3"/>
      <c r="M24" s="13"/>
      <c r="N24" s="3"/>
      <c r="O24" s="13"/>
      <c r="P24" s="3"/>
      <c r="Q24" s="3">
        <v>1</v>
      </c>
      <c r="R24" s="27"/>
      <c r="S24" s="3"/>
      <c r="T24" s="47" t="s">
        <v>597</v>
      </c>
      <c r="U24" s="49">
        <v>1</v>
      </c>
      <c r="V24" s="10" t="s">
        <v>664</v>
      </c>
      <c r="W24" s="10" t="s">
        <v>680</v>
      </c>
    </row>
    <row r="25" spans="1:23" ht="18" x14ac:dyDescent="0.3">
      <c r="A25" s="19" t="s">
        <v>48</v>
      </c>
      <c r="B25" s="21">
        <v>20</v>
      </c>
      <c r="C25" s="3" t="s">
        <v>391</v>
      </c>
      <c r="D25" s="3" t="s">
        <v>513</v>
      </c>
      <c r="E25" s="3" t="s">
        <v>517</v>
      </c>
      <c r="F25" s="28" t="s">
        <v>518</v>
      </c>
      <c r="G25" s="5">
        <v>105.17332</v>
      </c>
      <c r="H25" s="5">
        <v>10.575060000000001</v>
      </c>
      <c r="I25" s="5">
        <v>105.17438</v>
      </c>
      <c r="J25" s="5">
        <v>10.576409999999999</v>
      </c>
      <c r="K25" s="3">
        <v>210</v>
      </c>
      <c r="L25" s="3"/>
      <c r="M25" s="13"/>
      <c r="N25" s="3"/>
      <c r="O25" s="13"/>
      <c r="P25" s="3"/>
      <c r="Q25" s="3">
        <v>1</v>
      </c>
      <c r="R25" s="27"/>
      <c r="S25" s="3"/>
      <c r="T25" s="19" t="s">
        <v>597</v>
      </c>
      <c r="U25" s="49">
        <v>1</v>
      </c>
      <c r="V25" s="10" t="s">
        <v>664</v>
      </c>
      <c r="W25" s="10" t="s">
        <v>680</v>
      </c>
    </row>
    <row r="26" spans="1:23" ht="18" x14ac:dyDescent="0.3">
      <c r="A26" s="19" t="s">
        <v>48</v>
      </c>
      <c r="B26" s="21">
        <v>21</v>
      </c>
      <c r="C26" s="3" t="s">
        <v>391</v>
      </c>
      <c r="D26" s="3" t="s">
        <v>513</v>
      </c>
      <c r="E26" s="3" t="s">
        <v>518</v>
      </c>
      <c r="F26" s="28" t="s">
        <v>519</v>
      </c>
      <c r="G26" s="5">
        <v>105.17438</v>
      </c>
      <c r="H26" s="5">
        <v>10.576409999999999</v>
      </c>
      <c r="I26" s="5">
        <v>105.17543000000001</v>
      </c>
      <c r="J26" s="5">
        <v>10.5776</v>
      </c>
      <c r="K26" s="3">
        <v>160</v>
      </c>
      <c r="L26" s="3"/>
      <c r="M26" s="13"/>
      <c r="N26" s="3"/>
      <c r="O26" s="13"/>
      <c r="P26" s="3"/>
      <c r="Q26" s="3">
        <v>1</v>
      </c>
      <c r="R26" s="27"/>
      <c r="S26" s="3"/>
      <c r="T26" s="19" t="s">
        <v>597</v>
      </c>
      <c r="U26" s="49">
        <v>1</v>
      </c>
      <c r="V26" s="10" t="s">
        <v>664</v>
      </c>
      <c r="W26" s="10" t="s">
        <v>680</v>
      </c>
    </row>
    <row r="27" spans="1:23" ht="18" x14ac:dyDescent="0.3">
      <c r="A27" s="19" t="s">
        <v>48</v>
      </c>
      <c r="B27" s="21">
        <v>22</v>
      </c>
      <c r="C27" s="3" t="s">
        <v>391</v>
      </c>
      <c r="D27" s="3" t="s">
        <v>513</v>
      </c>
      <c r="E27" s="3" t="s">
        <v>519</v>
      </c>
      <c r="F27" s="28" t="s">
        <v>520</v>
      </c>
      <c r="G27" s="5">
        <v>105.17543000000001</v>
      </c>
      <c r="H27" s="5">
        <v>10.5776</v>
      </c>
      <c r="I27" s="5">
        <v>105.17715</v>
      </c>
      <c r="J27" s="5">
        <v>10.57967</v>
      </c>
      <c r="K27" s="3">
        <v>270</v>
      </c>
      <c r="L27" s="3"/>
      <c r="M27" s="13"/>
      <c r="N27" s="3">
        <v>1</v>
      </c>
      <c r="O27" s="13"/>
      <c r="P27" s="3"/>
      <c r="Q27" s="3">
        <v>1</v>
      </c>
      <c r="R27" s="27"/>
      <c r="S27" s="3"/>
      <c r="T27" s="19" t="s">
        <v>597</v>
      </c>
      <c r="U27" s="49">
        <v>1</v>
      </c>
      <c r="V27" s="10" t="s">
        <v>664</v>
      </c>
      <c r="W27" s="10" t="s">
        <v>680</v>
      </c>
    </row>
    <row r="28" spans="1:23" ht="18" x14ac:dyDescent="0.3">
      <c r="A28" s="19" t="s">
        <v>48</v>
      </c>
      <c r="B28" s="21">
        <v>23</v>
      </c>
      <c r="C28" s="3" t="s">
        <v>391</v>
      </c>
      <c r="D28" s="3" t="s">
        <v>513</v>
      </c>
      <c r="E28" s="3" t="s">
        <v>520</v>
      </c>
      <c r="F28" s="28" t="s">
        <v>521</v>
      </c>
      <c r="G28" s="5">
        <v>105.17715</v>
      </c>
      <c r="H28" s="5">
        <v>10.57967</v>
      </c>
      <c r="I28" s="5">
        <v>105.17827</v>
      </c>
      <c r="J28" s="5">
        <v>10.58095</v>
      </c>
      <c r="K28" s="3">
        <v>210</v>
      </c>
      <c r="L28" s="3"/>
      <c r="M28" s="13"/>
      <c r="N28" s="3"/>
      <c r="O28" s="13"/>
      <c r="P28" s="3"/>
      <c r="Q28" s="3">
        <v>1</v>
      </c>
      <c r="R28" s="27"/>
      <c r="S28" s="3"/>
      <c r="T28" s="19" t="s">
        <v>597</v>
      </c>
      <c r="U28" s="49">
        <v>1</v>
      </c>
      <c r="V28" s="10" t="s">
        <v>664</v>
      </c>
      <c r="W28" s="10" t="s">
        <v>680</v>
      </c>
    </row>
    <row r="29" spans="1:23" ht="18" x14ac:dyDescent="0.3">
      <c r="A29" s="19" t="s">
        <v>48</v>
      </c>
      <c r="B29" s="21">
        <v>24</v>
      </c>
      <c r="C29" s="3" t="s">
        <v>391</v>
      </c>
      <c r="D29" s="3" t="s">
        <v>513</v>
      </c>
      <c r="E29" s="3" t="s">
        <v>521</v>
      </c>
      <c r="F29" s="28" t="s">
        <v>522</v>
      </c>
      <c r="G29" s="5">
        <v>105.17827</v>
      </c>
      <c r="H29" s="5">
        <v>10.58095</v>
      </c>
      <c r="I29" s="5">
        <v>105.17957</v>
      </c>
      <c r="J29" s="5">
        <v>10.5825</v>
      </c>
      <c r="K29" s="3">
        <v>240</v>
      </c>
      <c r="L29" s="3"/>
      <c r="M29" s="13"/>
      <c r="N29" s="3"/>
      <c r="O29" s="13"/>
      <c r="P29" s="3"/>
      <c r="Q29" s="3">
        <v>1</v>
      </c>
      <c r="R29" s="27"/>
      <c r="S29" s="3"/>
      <c r="T29" s="19" t="s">
        <v>597</v>
      </c>
      <c r="U29" s="49">
        <v>1</v>
      </c>
      <c r="V29" s="10" t="s">
        <v>664</v>
      </c>
      <c r="W29" s="10" t="s">
        <v>680</v>
      </c>
    </row>
    <row r="30" spans="1:23" ht="18" x14ac:dyDescent="0.3">
      <c r="A30" s="19" t="s">
        <v>48</v>
      </c>
      <c r="B30" s="21">
        <v>25</v>
      </c>
      <c r="C30" s="3" t="s">
        <v>391</v>
      </c>
      <c r="D30" s="3" t="s">
        <v>495</v>
      </c>
      <c r="E30" s="3" t="s">
        <v>496</v>
      </c>
      <c r="F30" s="28" t="s">
        <v>523</v>
      </c>
      <c r="G30" s="5">
        <v>105.14713999999999</v>
      </c>
      <c r="H30" s="5">
        <v>10.541370000000001</v>
      </c>
      <c r="I30" s="5">
        <v>105.14509</v>
      </c>
      <c r="J30" s="5">
        <v>10.543340000000001</v>
      </c>
      <c r="K30" s="3">
        <v>320</v>
      </c>
      <c r="L30" s="3"/>
      <c r="M30" s="13"/>
      <c r="N30" s="3"/>
      <c r="O30" s="13"/>
      <c r="P30" s="3"/>
      <c r="Q30" s="3">
        <v>1</v>
      </c>
      <c r="R30" s="27">
        <v>1</v>
      </c>
      <c r="S30" s="3"/>
      <c r="T30" s="19" t="s">
        <v>598</v>
      </c>
      <c r="U30" s="49">
        <v>1</v>
      </c>
      <c r="V30" s="10" t="s">
        <v>664</v>
      </c>
      <c r="W30" s="10" t="s">
        <v>680</v>
      </c>
    </row>
    <row r="31" spans="1:23" ht="18" x14ac:dyDescent="0.3">
      <c r="A31" s="19" t="s">
        <v>48</v>
      </c>
      <c r="B31" s="21">
        <v>26</v>
      </c>
      <c r="C31" s="3" t="s">
        <v>391</v>
      </c>
      <c r="D31" s="3" t="s">
        <v>495</v>
      </c>
      <c r="E31" s="3" t="s">
        <v>523</v>
      </c>
      <c r="F31" s="28" t="s">
        <v>524</v>
      </c>
      <c r="G31" s="5">
        <v>105.14509</v>
      </c>
      <c r="H31" s="5">
        <v>10.543340000000001</v>
      </c>
      <c r="I31" s="5">
        <v>105.14578</v>
      </c>
      <c r="J31" s="5">
        <v>10.54425</v>
      </c>
      <c r="K31" s="3">
        <v>130</v>
      </c>
      <c r="L31" s="3"/>
      <c r="M31" s="13"/>
      <c r="N31" s="3">
        <v>1</v>
      </c>
      <c r="O31" s="13"/>
      <c r="P31" s="3"/>
      <c r="Q31" s="3">
        <v>1</v>
      </c>
      <c r="R31" s="27"/>
      <c r="S31" s="3"/>
      <c r="T31" s="19" t="s">
        <v>598</v>
      </c>
      <c r="U31" s="49">
        <v>1</v>
      </c>
      <c r="V31" s="10" t="s">
        <v>664</v>
      </c>
      <c r="W31" s="10" t="s">
        <v>680</v>
      </c>
    </row>
    <row r="32" spans="1:23" ht="18" x14ac:dyDescent="0.3">
      <c r="A32" s="19" t="s">
        <v>48</v>
      </c>
      <c r="B32" s="21">
        <v>27</v>
      </c>
      <c r="C32" s="3" t="s">
        <v>391</v>
      </c>
      <c r="D32" s="3" t="s">
        <v>495</v>
      </c>
      <c r="E32" s="3" t="s">
        <v>524</v>
      </c>
      <c r="F32" s="28" t="s">
        <v>525</v>
      </c>
      <c r="G32" s="5">
        <v>105.14578</v>
      </c>
      <c r="H32" s="5">
        <v>10.54425</v>
      </c>
      <c r="I32" s="5">
        <v>105.14752</v>
      </c>
      <c r="J32" s="5">
        <v>10.546279999999999</v>
      </c>
      <c r="K32" s="3">
        <v>240</v>
      </c>
      <c r="L32" s="3"/>
      <c r="M32" s="13"/>
      <c r="N32" s="3"/>
      <c r="O32" s="13"/>
      <c r="P32" s="3"/>
      <c r="Q32" s="3">
        <v>1</v>
      </c>
      <c r="R32" s="27"/>
      <c r="S32" s="3"/>
      <c r="T32" s="19" t="s">
        <v>598</v>
      </c>
      <c r="U32" s="49">
        <v>1</v>
      </c>
      <c r="V32" s="10" t="s">
        <v>664</v>
      </c>
      <c r="W32" s="10" t="s">
        <v>680</v>
      </c>
    </row>
    <row r="33" spans="1:23" ht="18" x14ac:dyDescent="0.3">
      <c r="A33" s="19" t="s">
        <v>49</v>
      </c>
      <c r="B33" s="21">
        <v>28</v>
      </c>
      <c r="C33" s="3" t="s">
        <v>391</v>
      </c>
      <c r="D33" s="3" t="s">
        <v>495</v>
      </c>
      <c r="E33" s="3" t="s">
        <v>525</v>
      </c>
      <c r="F33" s="28" t="s">
        <v>526</v>
      </c>
      <c r="G33" s="5">
        <v>105.14752</v>
      </c>
      <c r="H33" s="5">
        <v>10.546279999999999</v>
      </c>
      <c r="I33" s="5">
        <v>105.14913</v>
      </c>
      <c r="J33" s="5">
        <v>10.54815</v>
      </c>
      <c r="K33" s="3">
        <v>240</v>
      </c>
      <c r="L33" s="3"/>
      <c r="M33" s="13"/>
      <c r="N33" s="3"/>
      <c r="O33" s="13"/>
      <c r="P33" s="3"/>
      <c r="Q33" s="3">
        <v>1</v>
      </c>
      <c r="R33" s="27"/>
      <c r="S33" s="3"/>
      <c r="T33" s="19" t="s">
        <v>598</v>
      </c>
      <c r="U33" s="49">
        <v>1</v>
      </c>
      <c r="V33" s="10" t="s">
        <v>664</v>
      </c>
      <c r="W33" s="10" t="s">
        <v>680</v>
      </c>
    </row>
    <row r="34" spans="1:23" ht="18" x14ac:dyDescent="0.3">
      <c r="A34" s="19" t="s">
        <v>49</v>
      </c>
      <c r="B34" s="21">
        <v>29</v>
      </c>
      <c r="C34" s="3" t="s">
        <v>391</v>
      </c>
      <c r="D34" s="3" t="s">
        <v>495</v>
      </c>
      <c r="E34" s="3" t="s">
        <v>526</v>
      </c>
      <c r="F34" s="28" t="s">
        <v>527</v>
      </c>
      <c r="G34" s="5">
        <v>105.14913</v>
      </c>
      <c r="H34" s="5">
        <v>10.54815</v>
      </c>
      <c r="I34" s="5">
        <v>105.15025</v>
      </c>
      <c r="J34" s="5">
        <v>10.54951</v>
      </c>
      <c r="K34" s="3">
        <v>210</v>
      </c>
      <c r="L34" s="3"/>
      <c r="M34" s="13"/>
      <c r="N34" s="3"/>
      <c r="O34" s="13"/>
      <c r="P34" s="3"/>
      <c r="Q34" s="3">
        <v>1</v>
      </c>
      <c r="R34" s="27"/>
      <c r="S34" s="3"/>
      <c r="T34" s="19" t="s">
        <v>598</v>
      </c>
      <c r="U34" s="49">
        <v>1</v>
      </c>
      <c r="V34" s="10" t="s">
        <v>664</v>
      </c>
      <c r="W34" s="10" t="s">
        <v>680</v>
      </c>
    </row>
    <row r="35" spans="1:23" ht="18" x14ac:dyDescent="0.3">
      <c r="A35" s="19" t="s">
        <v>49</v>
      </c>
      <c r="B35" s="21">
        <v>30</v>
      </c>
      <c r="C35" s="3" t="s">
        <v>391</v>
      </c>
      <c r="D35" s="3" t="s">
        <v>495</v>
      </c>
      <c r="E35" s="3" t="s">
        <v>527</v>
      </c>
      <c r="F35" s="28" t="s">
        <v>528</v>
      </c>
      <c r="G35" s="5">
        <v>105.15025</v>
      </c>
      <c r="H35" s="5">
        <v>10.54951</v>
      </c>
      <c r="I35" s="5">
        <v>105.15146</v>
      </c>
      <c r="J35" s="5">
        <v>10.550890000000001</v>
      </c>
      <c r="K35" s="3">
        <v>210</v>
      </c>
      <c r="L35" s="3"/>
      <c r="M35" s="13"/>
      <c r="N35" s="3">
        <v>1</v>
      </c>
      <c r="O35" s="13"/>
      <c r="P35" s="3"/>
      <c r="Q35" s="3">
        <v>1</v>
      </c>
      <c r="R35" s="27"/>
      <c r="S35" s="3"/>
      <c r="T35" s="19" t="s">
        <v>598</v>
      </c>
      <c r="U35" s="49">
        <v>1</v>
      </c>
      <c r="V35" s="10" t="s">
        <v>664</v>
      </c>
      <c r="W35" s="10" t="s">
        <v>680</v>
      </c>
    </row>
    <row r="36" spans="1:23" ht="18" x14ac:dyDescent="0.3">
      <c r="A36" s="19" t="s">
        <v>49</v>
      </c>
      <c r="B36" s="21">
        <v>31</v>
      </c>
      <c r="C36" s="3" t="s">
        <v>391</v>
      </c>
      <c r="D36" s="3" t="s">
        <v>495</v>
      </c>
      <c r="E36" s="3" t="s">
        <v>528</v>
      </c>
      <c r="F36" s="28" t="s">
        <v>529</v>
      </c>
      <c r="G36" s="5">
        <v>105.15146</v>
      </c>
      <c r="H36" s="5">
        <v>10.550890000000001</v>
      </c>
      <c r="I36" s="5">
        <v>105.15308</v>
      </c>
      <c r="J36" s="5">
        <v>10.55275</v>
      </c>
      <c r="K36" s="3">
        <v>240</v>
      </c>
      <c r="L36" s="3"/>
      <c r="M36" s="13"/>
      <c r="N36" s="3"/>
      <c r="O36" s="13"/>
      <c r="P36" s="3"/>
      <c r="Q36" s="3">
        <v>1</v>
      </c>
      <c r="R36" s="27"/>
      <c r="S36" s="3"/>
      <c r="T36" s="19" t="s">
        <v>598</v>
      </c>
      <c r="U36" s="49">
        <v>1</v>
      </c>
      <c r="V36" s="10" t="s">
        <v>664</v>
      </c>
      <c r="W36" s="10" t="s">
        <v>680</v>
      </c>
    </row>
    <row r="37" spans="1:23" ht="18" x14ac:dyDescent="0.3">
      <c r="A37" s="19" t="s">
        <v>49</v>
      </c>
      <c r="B37" s="21">
        <v>32</v>
      </c>
      <c r="C37" s="3" t="s">
        <v>391</v>
      </c>
      <c r="D37" s="3" t="s">
        <v>495</v>
      </c>
      <c r="E37" s="3" t="s">
        <v>529</v>
      </c>
      <c r="F37" s="28" t="s">
        <v>530</v>
      </c>
      <c r="G37" s="5">
        <v>105.15308</v>
      </c>
      <c r="H37" s="5">
        <v>10.55275</v>
      </c>
      <c r="I37" s="5">
        <v>105.15600999999999</v>
      </c>
      <c r="J37" s="5">
        <v>10.556229999999999</v>
      </c>
      <c r="K37" s="3">
        <v>350</v>
      </c>
      <c r="L37" s="3"/>
      <c r="M37" s="13"/>
      <c r="N37" s="3"/>
      <c r="O37" s="13"/>
      <c r="P37" s="3"/>
      <c r="Q37" s="3">
        <v>1</v>
      </c>
      <c r="R37" s="27"/>
      <c r="S37" s="3"/>
      <c r="T37" s="19" t="s">
        <v>598</v>
      </c>
      <c r="U37" s="49">
        <v>1</v>
      </c>
      <c r="V37" s="10" t="s">
        <v>664</v>
      </c>
      <c r="W37" s="10" t="s">
        <v>680</v>
      </c>
    </row>
    <row r="38" spans="1:23" ht="18" x14ac:dyDescent="0.3">
      <c r="A38" s="19" t="s">
        <v>50</v>
      </c>
      <c r="B38" s="21">
        <v>33</v>
      </c>
      <c r="C38" s="3" t="s">
        <v>391</v>
      </c>
      <c r="D38" s="3" t="s">
        <v>495</v>
      </c>
      <c r="E38" s="3" t="s">
        <v>531</v>
      </c>
      <c r="F38" s="28" t="s">
        <v>532</v>
      </c>
      <c r="G38" s="5">
        <v>105.14509</v>
      </c>
      <c r="H38" s="5">
        <v>10.543340000000001</v>
      </c>
      <c r="I38" s="5">
        <v>105.14421</v>
      </c>
      <c r="J38" s="5">
        <v>10.54236</v>
      </c>
      <c r="K38" s="3">
        <v>160</v>
      </c>
      <c r="L38" s="3"/>
      <c r="M38" s="13"/>
      <c r="N38" s="3"/>
      <c r="O38" s="13"/>
      <c r="P38" s="3"/>
      <c r="Q38" s="3">
        <v>1</v>
      </c>
      <c r="R38" s="27"/>
      <c r="S38" s="3"/>
      <c r="T38" s="19" t="s">
        <v>598</v>
      </c>
      <c r="U38" s="49">
        <v>1</v>
      </c>
      <c r="V38" s="10" t="s">
        <v>664</v>
      </c>
      <c r="W38" s="10" t="s">
        <v>680</v>
      </c>
    </row>
    <row r="39" spans="1:23" ht="18" x14ac:dyDescent="0.3">
      <c r="A39" s="19" t="s">
        <v>50</v>
      </c>
      <c r="B39" s="21">
        <v>34</v>
      </c>
      <c r="C39" s="3" t="s">
        <v>391</v>
      </c>
      <c r="D39" s="3" t="s">
        <v>495</v>
      </c>
      <c r="E39" s="3" t="s">
        <v>532</v>
      </c>
      <c r="F39" s="28" t="s">
        <v>533</v>
      </c>
      <c r="G39" s="5">
        <v>105.14421</v>
      </c>
      <c r="H39" s="5">
        <v>10.54236</v>
      </c>
      <c r="I39" s="5">
        <v>105.1429</v>
      </c>
      <c r="J39" s="5">
        <v>10.540760000000001</v>
      </c>
      <c r="K39" s="3">
        <v>210</v>
      </c>
      <c r="L39" s="3"/>
      <c r="M39" s="13"/>
      <c r="N39" s="3">
        <v>1</v>
      </c>
      <c r="O39" s="13"/>
      <c r="P39" s="3"/>
      <c r="Q39" s="3">
        <v>1</v>
      </c>
      <c r="R39" s="27"/>
      <c r="S39" s="3"/>
      <c r="T39" s="19" t="s">
        <v>598</v>
      </c>
      <c r="U39" s="49">
        <v>1</v>
      </c>
      <c r="V39" s="10" t="s">
        <v>664</v>
      </c>
      <c r="W39" s="10" t="s">
        <v>680</v>
      </c>
    </row>
    <row r="40" spans="1:23" ht="18" x14ac:dyDescent="0.3">
      <c r="A40" s="19" t="s">
        <v>50</v>
      </c>
      <c r="B40" s="21">
        <v>35</v>
      </c>
      <c r="C40" s="3" t="s">
        <v>391</v>
      </c>
      <c r="D40" s="3" t="s">
        <v>495</v>
      </c>
      <c r="E40" s="3" t="s">
        <v>533</v>
      </c>
      <c r="F40" s="28" t="s">
        <v>534</v>
      </c>
      <c r="G40" s="5">
        <v>105.1429</v>
      </c>
      <c r="H40" s="5">
        <v>10.540760000000001</v>
      </c>
      <c r="I40" s="5">
        <v>105.14144</v>
      </c>
      <c r="J40" s="5">
        <v>10.539110000000001</v>
      </c>
      <c r="K40" s="3">
        <v>210</v>
      </c>
      <c r="L40" s="3"/>
      <c r="M40" s="13"/>
      <c r="N40" s="3"/>
      <c r="O40" s="13"/>
      <c r="P40" s="3"/>
      <c r="Q40" s="3">
        <v>1</v>
      </c>
      <c r="R40" s="27"/>
      <c r="S40" s="3"/>
      <c r="T40" s="19" t="s">
        <v>598</v>
      </c>
      <c r="U40" s="49">
        <v>1</v>
      </c>
      <c r="V40" s="10" t="s">
        <v>664</v>
      </c>
      <c r="W40" s="10" t="s">
        <v>680</v>
      </c>
    </row>
    <row r="41" spans="1:23" ht="18" x14ac:dyDescent="0.3">
      <c r="A41" s="19" t="s">
        <v>50</v>
      </c>
      <c r="B41" s="21">
        <v>36</v>
      </c>
      <c r="C41" s="3" t="s">
        <v>391</v>
      </c>
      <c r="D41" s="3" t="s">
        <v>495</v>
      </c>
      <c r="E41" s="3" t="s">
        <v>534</v>
      </c>
      <c r="F41" s="28" t="s">
        <v>535</v>
      </c>
      <c r="G41" s="5">
        <v>105.14144</v>
      </c>
      <c r="H41" s="5">
        <v>10.539110000000001</v>
      </c>
      <c r="I41" s="5">
        <v>105.14015999999999</v>
      </c>
      <c r="J41" s="5">
        <v>10.53769</v>
      </c>
      <c r="K41" s="3">
        <v>210</v>
      </c>
      <c r="L41" s="3"/>
      <c r="M41" s="13"/>
      <c r="N41" s="3"/>
      <c r="O41" s="13"/>
      <c r="P41" s="3"/>
      <c r="Q41" s="3">
        <v>1</v>
      </c>
      <c r="R41" s="27"/>
      <c r="S41" s="3"/>
      <c r="T41" s="19" t="s">
        <v>598</v>
      </c>
      <c r="U41" s="49">
        <v>1</v>
      </c>
      <c r="V41" s="10" t="s">
        <v>664</v>
      </c>
      <c r="W41" s="10" t="s">
        <v>680</v>
      </c>
    </row>
    <row r="42" spans="1:23" ht="18" x14ac:dyDescent="0.3">
      <c r="A42" s="19" t="s">
        <v>51</v>
      </c>
      <c r="B42" s="21">
        <v>37</v>
      </c>
      <c r="C42" s="3" t="s">
        <v>391</v>
      </c>
      <c r="D42" s="3" t="s">
        <v>495</v>
      </c>
      <c r="E42" s="3" t="s">
        <v>535</v>
      </c>
      <c r="F42" s="28" t="s">
        <v>536</v>
      </c>
      <c r="G42" s="5">
        <v>105.14015999999999</v>
      </c>
      <c r="H42" s="5">
        <v>10.53769</v>
      </c>
      <c r="I42" s="5">
        <v>105.13894000000001</v>
      </c>
      <c r="J42" s="5">
        <v>10.536239999999999</v>
      </c>
      <c r="K42" s="3">
        <v>210</v>
      </c>
      <c r="L42" s="3"/>
      <c r="M42" s="13"/>
      <c r="N42" s="3"/>
      <c r="O42" s="13"/>
      <c r="P42" s="3"/>
      <c r="Q42" s="3">
        <v>1</v>
      </c>
      <c r="R42" s="27"/>
      <c r="S42" s="3"/>
      <c r="T42" s="19" t="s">
        <v>598</v>
      </c>
      <c r="U42" s="49">
        <v>1</v>
      </c>
      <c r="V42" s="10" t="s">
        <v>664</v>
      </c>
      <c r="W42" s="10" t="s">
        <v>680</v>
      </c>
    </row>
    <row r="43" spans="1:23" ht="18" x14ac:dyDescent="0.3">
      <c r="A43" s="19" t="s">
        <v>51</v>
      </c>
      <c r="B43" s="21">
        <v>38</v>
      </c>
      <c r="C43" s="3" t="s">
        <v>391</v>
      </c>
      <c r="D43" s="3" t="s">
        <v>495</v>
      </c>
      <c r="E43" s="3" t="s">
        <v>536</v>
      </c>
      <c r="F43" s="28" t="s">
        <v>537</v>
      </c>
      <c r="G43" s="5">
        <v>105.13894000000001</v>
      </c>
      <c r="H43" s="5">
        <v>10.536239999999999</v>
      </c>
      <c r="I43" s="5">
        <v>105.13683</v>
      </c>
      <c r="J43" s="5">
        <v>10.53368</v>
      </c>
      <c r="K43" s="3">
        <v>320</v>
      </c>
      <c r="L43" s="3"/>
      <c r="M43" s="13"/>
      <c r="N43" s="3">
        <v>1</v>
      </c>
      <c r="O43" s="13"/>
      <c r="P43" s="3"/>
      <c r="Q43" s="3">
        <v>1</v>
      </c>
      <c r="R43" s="27"/>
      <c r="S43" s="3"/>
      <c r="T43" s="19" t="s">
        <v>598</v>
      </c>
      <c r="U43" s="49">
        <v>1</v>
      </c>
      <c r="V43" s="10" t="s">
        <v>664</v>
      </c>
      <c r="W43" s="10" t="s">
        <v>680</v>
      </c>
    </row>
    <row r="44" spans="1:23" ht="18" x14ac:dyDescent="0.3">
      <c r="A44" s="19" t="s">
        <v>51</v>
      </c>
      <c r="B44" s="21">
        <v>39</v>
      </c>
      <c r="C44" s="3" t="s">
        <v>391</v>
      </c>
      <c r="D44" s="3" t="s">
        <v>495</v>
      </c>
      <c r="E44" s="3" t="s">
        <v>537</v>
      </c>
      <c r="F44" s="28" t="s">
        <v>538</v>
      </c>
      <c r="G44" s="5">
        <v>105.13683</v>
      </c>
      <c r="H44" s="5">
        <v>10.53368</v>
      </c>
      <c r="I44" s="5">
        <v>105.13618</v>
      </c>
      <c r="J44" s="5">
        <v>10.532920000000001</v>
      </c>
      <c r="K44" s="3">
        <v>160</v>
      </c>
      <c r="L44" s="3"/>
      <c r="M44" s="13"/>
      <c r="N44" s="3"/>
      <c r="O44" s="13"/>
      <c r="P44" s="3"/>
      <c r="Q44" s="3">
        <v>1</v>
      </c>
      <c r="R44" s="27"/>
      <c r="S44" s="3"/>
      <c r="T44" s="19" t="s">
        <v>598</v>
      </c>
      <c r="U44" s="49">
        <v>1</v>
      </c>
      <c r="V44" s="10" t="s">
        <v>664</v>
      </c>
      <c r="W44" s="10" t="s">
        <v>680</v>
      </c>
    </row>
    <row r="45" spans="1:23" ht="18" x14ac:dyDescent="0.3">
      <c r="A45" s="19" t="s">
        <v>51</v>
      </c>
      <c r="B45" s="21">
        <v>40</v>
      </c>
      <c r="C45" s="3" t="s">
        <v>391</v>
      </c>
      <c r="D45" s="3" t="s">
        <v>495</v>
      </c>
      <c r="E45" s="3" t="s">
        <v>538</v>
      </c>
      <c r="F45" s="28" t="s">
        <v>539</v>
      </c>
      <c r="G45" s="5">
        <v>105.13618</v>
      </c>
      <c r="H45" s="5">
        <v>10.532920000000001</v>
      </c>
      <c r="I45" s="5">
        <v>105.13491</v>
      </c>
      <c r="J45" s="5">
        <v>10.53153</v>
      </c>
      <c r="K45" s="3">
        <v>210</v>
      </c>
      <c r="L45" s="3"/>
      <c r="M45" s="13"/>
      <c r="N45" s="3"/>
      <c r="O45" s="13"/>
      <c r="P45" s="3"/>
      <c r="Q45" s="3">
        <v>1</v>
      </c>
      <c r="R45" s="27"/>
      <c r="S45" s="3"/>
      <c r="T45" s="19" t="s">
        <v>598</v>
      </c>
      <c r="U45" s="49">
        <v>1</v>
      </c>
      <c r="V45" s="10" t="s">
        <v>664</v>
      </c>
      <c r="W45" s="10" t="s">
        <v>680</v>
      </c>
    </row>
    <row r="46" spans="1:23" ht="18" x14ac:dyDescent="0.3">
      <c r="A46" s="19" t="s">
        <v>51</v>
      </c>
      <c r="B46" s="21">
        <v>41</v>
      </c>
      <c r="C46" s="3" t="s">
        <v>391</v>
      </c>
      <c r="D46" s="3" t="s">
        <v>495</v>
      </c>
      <c r="E46" s="3" t="s">
        <v>539</v>
      </c>
      <c r="F46" s="28" t="s">
        <v>540</v>
      </c>
      <c r="G46" s="5">
        <v>105.13491</v>
      </c>
      <c r="H46" s="5">
        <v>10.53153</v>
      </c>
      <c r="I46" s="5">
        <v>105.13424000000001</v>
      </c>
      <c r="J46" s="5">
        <v>10.53074</v>
      </c>
      <c r="K46" s="3">
        <v>130</v>
      </c>
      <c r="L46" s="3"/>
      <c r="M46" s="13"/>
      <c r="N46" s="3"/>
      <c r="O46" s="13"/>
      <c r="P46" s="3"/>
      <c r="Q46" s="3">
        <v>1</v>
      </c>
      <c r="R46" s="27"/>
      <c r="S46" s="3"/>
      <c r="T46" s="19" t="s">
        <v>598</v>
      </c>
      <c r="U46" s="49">
        <v>1</v>
      </c>
      <c r="V46" s="10" t="s">
        <v>664</v>
      </c>
      <c r="W46" s="10" t="s">
        <v>680</v>
      </c>
    </row>
    <row r="47" spans="1:23" ht="18" x14ac:dyDescent="0.3">
      <c r="A47" s="19" t="s">
        <v>51</v>
      </c>
      <c r="B47" s="21">
        <v>42</v>
      </c>
      <c r="C47" s="3" t="s">
        <v>391</v>
      </c>
      <c r="D47" s="3" t="s">
        <v>495</v>
      </c>
      <c r="E47" s="3" t="s">
        <v>540</v>
      </c>
      <c r="F47" s="28" t="s">
        <v>541</v>
      </c>
      <c r="G47" s="5">
        <v>105.13424000000001</v>
      </c>
      <c r="H47" s="5">
        <v>10.53074</v>
      </c>
      <c r="I47" s="5">
        <v>105.13311</v>
      </c>
      <c r="J47" s="5">
        <v>10.529339999999999</v>
      </c>
      <c r="K47" s="3">
        <v>210</v>
      </c>
      <c r="L47" s="3"/>
      <c r="M47" s="13"/>
      <c r="N47" s="3">
        <v>1</v>
      </c>
      <c r="O47" s="13"/>
      <c r="P47" s="3"/>
      <c r="Q47" s="3">
        <v>1</v>
      </c>
      <c r="R47" s="27"/>
      <c r="S47" s="3"/>
      <c r="T47" s="19" t="s">
        <v>598</v>
      </c>
      <c r="U47" s="49">
        <v>1</v>
      </c>
      <c r="V47" s="10" t="s">
        <v>664</v>
      </c>
      <c r="W47" s="10" t="s">
        <v>680</v>
      </c>
    </row>
    <row r="48" spans="1:23" ht="18" x14ac:dyDescent="0.3">
      <c r="A48" s="19" t="s">
        <v>51</v>
      </c>
      <c r="B48" s="21">
        <v>43</v>
      </c>
      <c r="C48" s="3" t="s">
        <v>391</v>
      </c>
      <c r="D48" s="3" t="s">
        <v>495</v>
      </c>
      <c r="E48" s="3" t="s">
        <v>541</v>
      </c>
      <c r="F48" s="28" t="s">
        <v>542</v>
      </c>
      <c r="G48" s="5">
        <v>105.13311</v>
      </c>
      <c r="H48" s="5">
        <v>10.529339999999999</v>
      </c>
      <c r="I48" s="5">
        <v>105.13204</v>
      </c>
      <c r="J48" s="5">
        <v>10.52801</v>
      </c>
      <c r="K48" s="3">
        <v>160</v>
      </c>
      <c r="L48" s="3"/>
      <c r="M48" s="13"/>
      <c r="N48" s="3"/>
      <c r="O48" s="13"/>
      <c r="P48" s="3"/>
      <c r="Q48" s="3">
        <v>1</v>
      </c>
      <c r="R48" s="27"/>
      <c r="S48" s="3"/>
      <c r="T48" s="19" t="s">
        <v>598</v>
      </c>
      <c r="U48" s="49">
        <v>1</v>
      </c>
      <c r="V48" s="10" t="s">
        <v>664</v>
      </c>
      <c r="W48" s="10" t="s">
        <v>680</v>
      </c>
    </row>
    <row r="49" spans="1:23" ht="18" x14ac:dyDescent="0.3">
      <c r="A49" s="19" t="s">
        <v>51</v>
      </c>
      <c r="B49" s="21">
        <v>44</v>
      </c>
      <c r="C49" s="3" t="s">
        <v>391</v>
      </c>
      <c r="D49" s="3" t="s">
        <v>495</v>
      </c>
      <c r="E49" s="3" t="s">
        <v>542</v>
      </c>
      <c r="F49" s="28" t="s">
        <v>543</v>
      </c>
      <c r="G49" s="5">
        <v>105.13204</v>
      </c>
      <c r="H49" s="5">
        <v>10.52801</v>
      </c>
      <c r="I49" s="5">
        <v>105.13075000000001</v>
      </c>
      <c r="J49" s="5">
        <v>10.52661</v>
      </c>
      <c r="K49" s="3">
        <v>210</v>
      </c>
      <c r="L49" s="3"/>
      <c r="M49" s="13"/>
      <c r="N49" s="3"/>
      <c r="O49" s="13"/>
      <c r="P49" s="3"/>
      <c r="Q49" s="3">
        <v>1</v>
      </c>
      <c r="R49" s="27"/>
      <c r="S49" s="3"/>
      <c r="T49" s="19" t="s">
        <v>598</v>
      </c>
      <c r="U49" s="49">
        <v>1</v>
      </c>
      <c r="V49" s="10" t="s">
        <v>664</v>
      </c>
      <c r="W49" s="10" t="s">
        <v>680</v>
      </c>
    </row>
    <row r="50" spans="1:23" ht="18" x14ac:dyDescent="0.3">
      <c r="A50" s="19" t="s">
        <v>52</v>
      </c>
      <c r="B50" s="21">
        <v>45</v>
      </c>
      <c r="C50" s="3" t="s">
        <v>391</v>
      </c>
      <c r="D50" s="3" t="s">
        <v>495</v>
      </c>
      <c r="E50" s="3" t="s">
        <v>543</v>
      </c>
      <c r="F50" s="28" t="s">
        <v>544</v>
      </c>
      <c r="G50" s="5">
        <v>105.13075000000001</v>
      </c>
      <c r="H50" s="5">
        <v>10.52661</v>
      </c>
      <c r="I50" s="5">
        <v>105.12966</v>
      </c>
      <c r="J50" s="5">
        <v>10.525320000000001</v>
      </c>
      <c r="K50" s="3">
        <v>160</v>
      </c>
      <c r="L50" s="3"/>
      <c r="M50" s="13"/>
      <c r="N50" s="3"/>
      <c r="O50" s="13"/>
      <c r="P50" s="3"/>
      <c r="Q50" s="3">
        <v>1</v>
      </c>
      <c r="R50" s="27"/>
      <c r="S50" s="3"/>
      <c r="T50" s="19" t="s">
        <v>598</v>
      </c>
      <c r="U50" s="49">
        <v>1</v>
      </c>
      <c r="V50" s="10" t="s">
        <v>664</v>
      </c>
      <c r="W50" s="10" t="s">
        <v>680</v>
      </c>
    </row>
    <row r="51" spans="1:23" ht="18" x14ac:dyDescent="0.3">
      <c r="A51" s="19" t="s">
        <v>52</v>
      </c>
      <c r="B51" s="21">
        <v>46</v>
      </c>
      <c r="C51" s="3" t="s">
        <v>391</v>
      </c>
      <c r="D51" s="3" t="s">
        <v>495</v>
      </c>
      <c r="E51" s="3" t="s">
        <v>544</v>
      </c>
      <c r="F51" s="28" t="s">
        <v>545</v>
      </c>
      <c r="G51" s="5">
        <v>105.12966</v>
      </c>
      <c r="H51" s="5">
        <v>10.525320000000001</v>
      </c>
      <c r="I51" s="5">
        <v>105.12851000000001</v>
      </c>
      <c r="J51" s="5">
        <v>10.523960000000001</v>
      </c>
      <c r="K51" s="3">
        <v>210</v>
      </c>
      <c r="L51" s="3"/>
      <c r="M51" s="13"/>
      <c r="N51" s="3">
        <v>1</v>
      </c>
      <c r="O51" s="13"/>
      <c r="P51" s="3"/>
      <c r="Q51" s="3">
        <v>1</v>
      </c>
      <c r="R51" s="27"/>
      <c r="S51" s="3"/>
      <c r="T51" s="19" t="s">
        <v>598</v>
      </c>
      <c r="U51" s="49">
        <v>1</v>
      </c>
      <c r="V51" s="10" t="s">
        <v>664</v>
      </c>
      <c r="W51" s="10" t="s">
        <v>680</v>
      </c>
    </row>
    <row r="52" spans="1:23" ht="18" x14ac:dyDescent="0.3">
      <c r="A52" s="19" t="s">
        <v>52</v>
      </c>
      <c r="B52" s="21">
        <v>47</v>
      </c>
      <c r="C52" s="3" t="s">
        <v>391</v>
      </c>
      <c r="D52" s="3" t="s">
        <v>495</v>
      </c>
      <c r="E52" s="3" t="s">
        <v>545</v>
      </c>
      <c r="F52" s="28" t="s">
        <v>546</v>
      </c>
      <c r="G52" s="5">
        <v>105.12851000000001</v>
      </c>
      <c r="H52" s="5">
        <v>10.523960000000001</v>
      </c>
      <c r="I52" s="5">
        <v>105.12755</v>
      </c>
      <c r="J52" s="5">
        <v>10.522869999999999</v>
      </c>
      <c r="K52" s="3">
        <v>160</v>
      </c>
      <c r="L52" s="3"/>
      <c r="M52" s="13"/>
      <c r="N52" s="3"/>
      <c r="O52" s="13"/>
      <c r="P52" s="3"/>
      <c r="Q52" s="3">
        <v>1</v>
      </c>
      <c r="R52" s="27"/>
      <c r="S52" s="3"/>
      <c r="T52" s="19" t="s">
        <v>598</v>
      </c>
      <c r="U52" s="49">
        <v>1</v>
      </c>
      <c r="V52" s="10" t="s">
        <v>664</v>
      </c>
      <c r="W52" s="10" t="s">
        <v>680</v>
      </c>
    </row>
    <row r="53" spans="1:23" ht="18" x14ac:dyDescent="0.3">
      <c r="A53" s="19" t="s">
        <v>52</v>
      </c>
      <c r="B53" s="21">
        <v>48</v>
      </c>
      <c r="C53" s="3" t="s">
        <v>391</v>
      </c>
      <c r="D53" s="3" t="s">
        <v>495</v>
      </c>
      <c r="E53" s="3" t="s">
        <v>546</v>
      </c>
      <c r="F53" s="28" t="s">
        <v>547</v>
      </c>
      <c r="G53" s="5">
        <v>105.12755</v>
      </c>
      <c r="H53" s="5">
        <v>10.522869999999999</v>
      </c>
      <c r="I53" s="5">
        <v>105.12676999999999</v>
      </c>
      <c r="J53" s="5">
        <v>10.521879999999999</v>
      </c>
      <c r="K53" s="3">
        <v>160</v>
      </c>
      <c r="L53" s="3"/>
      <c r="M53" s="13"/>
      <c r="N53" s="3"/>
      <c r="O53" s="13"/>
      <c r="P53" s="3"/>
      <c r="Q53" s="3">
        <v>1</v>
      </c>
      <c r="R53" s="27"/>
      <c r="S53" s="3"/>
      <c r="T53" s="19" t="s">
        <v>598</v>
      </c>
      <c r="U53" s="49">
        <v>1</v>
      </c>
      <c r="V53" s="10" t="s">
        <v>664</v>
      </c>
      <c r="W53" s="10" t="s">
        <v>680</v>
      </c>
    </row>
    <row r="54" spans="1:23" ht="18" x14ac:dyDescent="0.3">
      <c r="A54" s="19" t="s">
        <v>52</v>
      </c>
      <c r="B54" s="21">
        <v>49</v>
      </c>
      <c r="C54" s="3" t="s">
        <v>391</v>
      </c>
      <c r="D54" s="3" t="s">
        <v>548</v>
      </c>
      <c r="E54" s="3" t="s">
        <v>549</v>
      </c>
      <c r="F54" s="28" t="s">
        <v>550</v>
      </c>
      <c r="G54" s="5">
        <v>105.19131</v>
      </c>
      <c r="H54" s="5">
        <v>10.65569</v>
      </c>
      <c r="I54" s="5">
        <v>105.19283</v>
      </c>
      <c r="J54" s="5">
        <v>10.657080000000001</v>
      </c>
      <c r="K54" s="3">
        <v>240</v>
      </c>
      <c r="L54" s="3"/>
      <c r="M54" s="13"/>
      <c r="N54" s="3"/>
      <c r="O54" s="13"/>
      <c r="P54" s="3"/>
      <c r="Q54" s="3">
        <v>1</v>
      </c>
      <c r="R54" s="27">
        <v>1</v>
      </c>
      <c r="S54" s="3"/>
      <c r="T54" s="19" t="s">
        <v>599</v>
      </c>
      <c r="U54" s="49">
        <v>3</v>
      </c>
      <c r="V54" s="10" t="s">
        <v>664</v>
      </c>
      <c r="W54" s="10" t="s">
        <v>680</v>
      </c>
    </row>
    <row r="55" spans="1:23" ht="18" x14ac:dyDescent="0.3">
      <c r="A55" s="19" t="s">
        <v>52</v>
      </c>
      <c r="B55" s="21">
        <v>50</v>
      </c>
      <c r="C55" s="3" t="s">
        <v>391</v>
      </c>
      <c r="D55" s="3" t="s">
        <v>548</v>
      </c>
      <c r="E55" s="3" t="s">
        <v>550</v>
      </c>
      <c r="F55" s="28" t="s">
        <v>551</v>
      </c>
      <c r="G55" s="5">
        <v>105.19283</v>
      </c>
      <c r="H55" s="5">
        <v>10.657080000000001</v>
      </c>
      <c r="I55" s="5">
        <v>105.19211</v>
      </c>
      <c r="J55" s="5">
        <v>10.658340000000001</v>
      </c>
      <c r="K55" s="3">
        <v>160</v>
      </c>
      <c r="L55" s="3"/>
      <c r="M55" s="13"/>
      <c r="N55" s="3">
        <v>1</v>
      </c>
      <c r="O55" s="13"/>
      <c r="P55" s="3"/>
      <c r="Q55" s="3">
        <v>1</v>
      </c>
      <c r="R55" s="27"/>
      <c r="S55" s="3"/>
      <c r="T55" s="19" t="s">
        <v>599</v>
      </c>
      <c r="U55" s="49">
        <v>3</v>
      </c>
      <c r="V55" s="10" t="s">
        <v>664</v>
      </c>
      <c r="W55" s="10" t="s">
        <v>680</v>
      </c>
    </row>
    <row r="56" spans="1:23" ht="31.2" x14ac:dyDescent="0.3">
      <c r="A56" s="19" t="s">
        <v>52</v>
      </c>
      <c r="B56" s="21">
        <v>51</v>
      </c>
      <c r="C56" s="3" t="s">
        <v>391</v>
      </c>
      <c r="D56" s="3" t="s">
        <v>548</v>
      </c>
      <c r="E56" s="3" t="s">
        <v>551</v>
      </c>
      <c r="F56" s="28" t="s">
        <v>552</v>
      </c>
      <c r="G56" s="5">
        <v>105.19211</v>
      </c>
      <c r="H56" s="5">
        <v>10.658340000000001</v>
      </c>
      <c r="I56" s="5">
        <v>105.19127</v>
      </c>
      <c r="J56" s="5">
        <v>10.65958</v>
      </c>
      <c r="K56" s="3">
        <v>160</v>
      </c>
      <c r="L56" s="3"/>
      <c r="M56" s="13"/>
      <c r="N56" s="3"/>
      <c r="O56" s="13"/>
      <c r="P56" s="3"/>
      <c r="Q56" s="3">
        <v>1</v>
      </c>
      <c r="R56" s="3"/>
      <c r="S56" s="3"/>
      <c r="T56" s="47" t="s">
        <v>599</v>
      </c>
      <c r="U56" s="49">
        <v>3</v>
      </c>
      <c r="V56" s="10" t="s">
        <v>664</v>
      </c>
      <c r="W56" s="10" t="s">
        <v>680</v>
      </c>
    </row>
    <row r="57" spans="1:23" ht="31.2" x14ac:dyDescent="0.3">
      <c r="A57" s="19" t="s">
        <v>52</v>
      </c>
      <c r="B57" s="21">
        <v>52</v>
      </c>
      <c r="C57" s="3" t="s">
        <v>391</v>
      </c>
      <c r="D57" s="3" t="s">
        <v>548</v>
      </c>
      <c r="E57" s="3" t="s">
        <v>552</v>
      </c>
      <c r="F57" s="28" t="s">
        <v>553</v>
      </c>
      <c r="G57" s="5">
        <v>105.19127</v>
      </c>
      <c r="H57" s="5">
        <v>10.65958</v>
      </c>
      <c r="I57" s="5">
        <v>105.19020999999999</v>
      </c>
      <c r="J57" s="5">
        <v>10.661160000000001</v>
      </c>
      <c r="K57" s="3">
        <v>210</v>
      </c>
      <c r="L57" s="3"/>
      <c r="M57" s="13"/>
      <c r="N57" s="3"/>
      <c r="O57" s="13"/>
      <c r="P57" s="3"/>
      <c r="Q57" s="3">
        <v>1</v>
      </c>
      <c r="R57" s="3"/>
      <c r="S57" s="3"/>
      <c r="T57" s="47" t="s">
        <v>599</v>
      </c>
      <c r="U57" s="49">
        <v>3</v>
      </c>
      <c r="V57" s="10" t="s">
        <v>664</v>
      </c>
      <c r="W57" s="10" t="s">
        <v>680</v>
      </c>
    </row>
    <row r="58" spans="1:23" ht="31.2" x14ac:dyDescent="0.3">
      <c r="A58" s="19" t="s">
        <v>53</v>
      </c>
      <c r="B58" s="21">
        <v>53</v>
      </c>
      <c r="C58" s="3" t="s">
        <v>391</v>
      </c>
      <c r="D58" s="3" t="s">
        <v>548</v>
      </c>
      <c r="E58" s="3" t="s">
        <v>553</v>
      </c>
      <c r="F58" s="28" t="s">
        <v>554</v>
      </c>
      <c r="G58" s="5">
        <v>105.19020999999999</v>
      </c>
      <c r="H58" s="5">
        <v>10.661160000000001</v>
      </c>
      <c r="I58" s="5">
        <v>105.18885</v>
      </c>
      <c r="J58" s="5">
        <v>10.66258</v>
      </c>
      <c r="K58" s="3">
        <v>210</v>
      </c>
      <c r="L58" s="3"/>
      <c r="M58" s="13"/>
      <c r="N58" s="3"/>
      <c r="O58" s="13"/>
      <c r="P58" s="3"/>
      <c r="Q58" s="3">
        <v>1</v>
      </c>
      <c r="R58" s="3"/>
      <c r="S58" s="3"/>
      <c r="T58" s="47" t="s">
        <v>599</v>
      </c>
      <c r="U58" s="49">
        <v>3</v>
      </c>
      <c r="V58" s="10" t="s">
        <v>664</v>
      </c>
      <c r="W58" s="10" t="s">
        <v>680</v>
      </c>
    </row>
    <row r="59" spans="1:23" ht="31.2" x14ac:dyDescent="0.3">
      <c r="A59" s="19" t="s">
        <v>53</v>
      </c>
      <c r="B59" s="21">
        <v>54</v>
      </c>
      <c r="C59" s="3" t="s">
        <v>391</v>
      </c>
      <c r="D59" s="3" t="s">
        <v>548</v>
      </c>
      <c r="E59" s="3" t="s">
        <v>554</v>
      </c>
      <c r="F59" s="28" t="s">
        <v>555</v>
      </c>
      <c r="G59" s="5">
        <v>105.18885</v>
      </c>
      <c r="H59" s="5">
        <v>10.66258</v>
      </c>
      <c r="I59" s="5">
        <v>105.18728</v>
      </c>
      <c r="J59" s="5">
        <v>10.663690000000001</v>
      </c>
      <c r="K59" s="3">
        <v>210</v>
      </c>
      <c r="L59" s="3"/>
      <c r="M59" s="13"/>
      <c r="N59" s="3">
        <v>1</v>
      </c>
      <c r="O59" s="13"/>
      <c r="P59" s="3"/>
      <c r="Q59" s="3">
        <v>1</v>
      </c>
      <c r="R59" s="3"/>
      <c r="S59" s="3"/>
      <c r="T59" s="47" t="s">
        <v>599</v>
      </c>
      <c r="U59" s="49">
        <v>3</v>
      </c>
      <c r="V59" s="10" t="s">
        <v>664</v>
      </c>
      <c r="W59" s="10" t="s">
        <v>680</v>
      </c>
    </row>
    <row r="60" spans="1:23" ht="31.2" x14ac:dyDescent="0.3">
      <c r="A60" s="19" t="s">
        <v>53</v>
      </c>
      <c r="B60" s="21">
        <v>55</v>
      </c>
      <c r="C60" s="3" t="s">
        <v>391</v>
      </c>
      <c r="D60" s="3" t="s">
        <v>548</v>
      </c>
      <c r="E60" s="3" t="s">
        <v>555</v>
      </c>
      <c r="F60" s="28" t="s">
        <v>556</v>
      </c>
      <c r="G60" s="5">
        <v>105.18728</v>
      </c>
      <c r="H60" s="5">
        <v>10.663690000000001</v>
      </c>
      <c r="I60" s="5">
        <v>105.18562</v>
      </c>
      <c r="J60" s="5">
        <v>10.66469</v>
      </c>
      <c r="K60" s="3">
        <v>210</v>
      </c>
      <c r="L60" s="3"/>
      <c r="M60" s="13"/>
      <c r="N60" s="3"/>
      <c r="O60" s="13"/>
      <c r="P60" s="3"/>
      <c r="Q60" s="3">
        <v>1</v>
      </c>
      <c r="R60" s="3"/>
      <c r="S60" s="3"/>
      <c r="T60" s="47" t="s">
        <v>599</v>
      </c>
      <c r="U60" s="49">
        <v>3</v>
      </c>
      <c r="V60" s="10" t="s">
        <v>664</v>
      </c>
      <c r="W60" s="10" t="s">
        <v>680</v>
      </c>
    </row>
    <row r="61" spans="1:23" ht="31.2" x14ac:dyDescent="0.3">
      <c r="A61" s="19" t="s">
        <v>53</v>
      </c>
      <c r="B61" s="21">
        <v>56</v>
      </c>
      <c r="C61" s="3" t="s">
        <v>391</v>
      </c>
      <c r="D61" s="3" t="s">
        <v>548</v>
      </c>
      <c r="E61" s="3" t="s">
        <v>556</v>
      </c>
      <c r="F61" s="28" t="s">
        <v>557</v>
      </c>
      <c r="G61" s="5">
        <v>105.18562</v>
      </c>
      <c r="H61" s="5">
        <v>10.66469</v>
      </c>
      <c r="I61" s="5">
        <v>105.18416999999999</v>
      </c>
      <c r="J61" s="5">
        <v>10.66526</v>
      </c>
      <c r="K61" s="3">
        <v>210</v>
      </c>
      <c r="L61" s="3"/>
      <c r="M61" s="13"/>
      <c r="N61" s="3"/>
      <c r="O61" s="13"/>
      <c r="P61" s="3"/>
      <c r="Q61" s="3">
        <v>1</v>
      </c>
      <c r="R61" s="3"/>
      <c r="S61" s="3"/>
      <c r="T61" s="47" t="s">
        <v>599</v>
      </c>
      <c r="U61" s="49">
        <v>3</v>
      </c>
      <c r="V61" s="10" t="s">
        <v>664</v>
      </c>
      <c r="W61" s="10" t="s">
        <v>680</v>
      </c>
    </row>
    <row r="62" spans="1:23" ht="31.2" x14ac:dyDescent="0.3">
      <c r="A62" s="19" t="s">
        <v>53</v>
      </c>
      <c r="B62" s="21">
        <v>57</v>
      </c>
      <c r="C62" s="3" t="s">
        <v>391</v>
      </c>
      <c r="D62" s="3" t="s">
        <v>548</v>
      </c>
      <c r="E62" s="3" t="s">
        <v>557</v>
      </c>
      <c r="F62" s="28" t="s">
        <v>558</v>
      </c>
      <c r="G62" s="5">
        <v>105.18416999999999</v>
      </c>
      <c r="H62" s="5">
        <v>10.66526</v>
      </c>
      <c r="I62" s="5">
        <v>105.18222</v>
      </c>
      <c r="J62" s="5">
        <v>10.66568</v>
      </c>
      <c r="K62" s="3">
        <v>210</v>
      </c>
      <c r="L62" s="3"/>
      <c r="M62" s="13"/>
      <c r="N62" s="3"/>
      <c r="O62" s="13"/>
      <c r="P62" s="3"/>
      <c r="Q62" s="3">
        <v>1</v>
      </c>
      <c r="R62" s="3"/>
      <c r="S62" s="3"/>
      <c r="T62" s="47" t="s">
        <v>599</v>
      </c>
      <c r="U62" s="49">
        <v>3</v>
      </c>
      <c r="V62" s="10" t="s">
        <v>664</v>
      </c>
      <c r="W62" s="10" t="s">
        <v>680</v>
      </c>
    </row>
    <row r="63" spans="1:23" ht="31.2" x14ac:dyDescent="0.3">
      <c r="A63" s="19" t="s">
        <v>53</v>
      </c>
      <c r="B63" s="21">
        <v>58</v>
      </c>
      <c r="C63" s="3" t="s">
        <v>391</v>
      </c>
      <c r="D63" s="3" t="s">
        <v>548</v>
      </c>
      <c r="E63" s="3" t="s">
        <v>558</v>
      </c>
      <c r="F63" s="28" t="s">
        <v>559</v>
      </c>
      <c r="G63" s="5">
        <v>105.18222</v>
      </c>
      <c r="H63" s="5">
        <v>10.66568</v>
      </c>
      <c r="I63" s="5">
        <v>105.18037</v>
      </c>
      <c r="J63" s="5">
        <v>10.666040000000001</v>
      </c>
      <c r="K63" s="3">
        <v>210</v>
      </c>
      <c r="L63" s="3"/>
      <c r="M63" s="13"/>
      <c r="N63" s="3">
        <v>1</v>
      </c>
      <c r="O63" s="13"/>
      <c r="P63" s="3"/>
      <c r="Q63" s="3">
        <v>1</v>
      </c>
      <c r="R63" s="3"/>
      <c r="S63" s="3"/>
      <c r="T63" s="47" t="s">
        <v>599</v>
      </c>
      <c r="U63" s="49">
        <v>3</v>
      </c>
      <c r="V63" s="10" t="s">
        <v>664</v>
      </c>
      <c r="W63" s="10" t="s">
        <v>680</v>
      </c>
    </row>
    <row r="64" spans="1:23" ht="31.2" x14ac:dyDescent="0.3">
      <c r="A64" s="19" t="s">
        <v>53</v>
      </c>
      <c r="B64" s="21">
        <v>59</v>
      </c>
      <c r="C64" s="3" t="s">
        <v>391</v>
      </c>
      <c r="D64" s="3" t="s">
        <v>548</v>
      </c>
      <c r="E64" s="3" t="s">
        <v>559</v>
      </c>
      <c r="F64" s="28" t="s">
        <v>560</v>
      </c>
      <c r="G64" s="5">
        <v>105.18037</v>
      </c>
      <c r="H64" s="5">
        <v>10.666040000000001</v>
      </c>
      <c r="I64" s="5">
        <v>105.17914</v>
      </c>
      <c r="J64" s="5">
        <v>10.66635</v>
      </c>
      <c r="K64" s="3">
        <v>210</v>
      </c>
      <c r="L64" s="3"/>
      <c r="M64" s="13"/>
      <c r="N64" s="3"/>
      <c r="O64" s="13"/>
      <c r="P64" s="3"/>
      <c r="Q64" s="3">
        <v>1</v>
      </c>
      <c r="R64" s="3"/>
      <c r="S64" s="3"/>
      <c r="T64" s="47" t="s">
        <v>599</v>
      </c>
      <c r="U64" s="49">
        <v>3</v>
      </c>
      <c r="V64" s="10" t="s">
        <v>664</v>
      </c>
      <c r="W64" s="10" t="s">
        <v>680</v>
      </c>
    </row>
    <row r="65" spans="1:23" ht="31.2" x14ac:dyDescent="0.3">
      <c r="A65" s="19" t="s">
        <v>53</v>
      </c>
      <c r="B65" s="21">
        <v>60</v>
      </c>
      <c r="C65" s="3" t="s">
        <v>391</v>
      </c>
      <c r="D65" s="3" t="s">
        <v>548</v>
      </c>
      <c r="E65" s="3" t="s">
        <v>560</v>
      </c>
      <c r="F65" s="28" t="s">
        <v>561</v>
      </c>
      <c r="G65" s="5">
        <v>105.17914</v>
      </c>
      <c r="H65" s="5">
        <v>10.66635</v>
      </c>
      <c r="I65" s="5">
        <v>105.17726999999999</v>
      </c>
      <c r="J65" s="5">
        <v>10.666359999999999</v>
      </c>
      <c r="K65" s="3">
        <v>210</v>
      </c>
      <c r="L65" s="3"/>
      <c r="M65" s="13"/>
      <c r="N65" s="3"/>
      <c r="O65" s="13"/>
      <c r="P65" s="3"/>
      <c r="Q65" s="3">
        <v>1</v>
      </c>
      <c r="R65" s="3"/>
      <c r="S65" s="3"/>
      <c r="T65" s="47" t="s">
        <v>599</v>
      </c>
      <c r="U65" s="49">
        <v>3</v>
      </c>
      <c r="V65" s="10" t="s">
        <v>664</v>
      </c>
      <c r="W65" s="10" t="s">
        <v>680</v>
      </c>
    </row>
    <row r="66" spans="1:23" ht="18" x14ac:dyDescent="0.3">
      <c r="A66" s="19" t="s">
        <v>53</v>
      </c>
      <c r="B66" s="21">
        <v>61</v>
      </c>
      <c r="C66" s="3" t="s">
        <v>391</v>
      </c>
      <c r="D66" s="3" t="s">
        <v>548</v>
      </c>
      <c r="E66" s="3" t="s">
        <v>549</v>
      </c>
      <c r="F66" s="28" t="s">
        <v>562</v>
      </c>
      <c r="G66" s="5">
        <v>105.19131</v>
      </c>
      <c r="H66" s="5">
        <v>10.65569</v>
      </c>
      <c r="I66" s="5">
        <v>105.19089</v>
      </c>
      <c r="J66" s="5">
        <v>10.657679999999999</v>
      </c>
      <c r="K66" s="3">
        <v>450</v>
      </c>
      <c r="L66" s="3"/>
      <c r="M66" s="13"/>
      <c r="N66" s="3"/>
      <c r="O66" s="13"/>
      <c r="P66" s="3"/>
      <c r="Q66" s="3">
        <v>1</v>
      </c>
      <c r="R66" s="3">
        <v>1</v>
      </c>
      <c r="S66" s="3"/>
      <c r="T66" s="47" t="s">
        <v>600</v>
      </c>
      <c r="U66" s="49">
        <v>3</v>
      </c>
      <c r="V66" s="10" t="s">
        <v>664</v>
      </c>
      <c r="W66" s="10" t="s">
        <v>680</v>
      </c>
    </row>
    <row r="67" spans="1:23" ht="18" x14ac:dyDescent="0.3">
      <c r="A67" s="19" t="s">
        <v>53</v>
      </c>
      <c r="B67" s="21">
        <v>62</v>
      </c>
      <c r="C67" s="3" t="s">
        <v>391</v>
      </c>
      <c r="D67" s="3" t="s">
        <v>548</v>
      </c>
      <c r="E67" s="3" t="s">
        <v>562</v>
      </c>
      <c r="F67" s="28" t="s">
        <v>563</v>
      </c>
      <c r="G67" s="5">
        <v>105.19089</v>
      </c>
      <c r="H67" s="5">
        <v>10.657679999999999</v>
      </c>
      <c r="I67" s="5">
        <v>105.18908999999999</v>
      </c>
      <c r="J67" s="5">
        <v>10.65737</v>
      </c>
      <c r="K67" s="3">
        <v>160</v>
      </c>
      <c r="L67" s="3"/>
      <c r="M67" s="13"/>
      <c r="N67" s="3">
        <v>1</v>
      </c>
      <c r="O67" s="13"/>
      <c r="P67" s="3"/>
      <c r="Q67" s="3">
        <v>1</v>
      </c>
      <c r="R67" s="3"/>
      <c r="S67" s="3"/>
      <c r="T67" s="47" t="s">
        <v>600</v>
      </c>
      <c r="U67" s="49">
        <v>3</v>
      </c>
      <c r="V67" s="10" t="s">
        <v>664</v>
      </c>
      <c r="W67" s="10" t="s">
        <v>680</v>
      </c>
    </row>
    <row r="68" spans="1:23" ht="18" x14ac:dyDescent="0.3">
      <c r="A68" s="19" t="s">
        <v>53</v>
      </c>
      <c r="B68" s="21">
        <v>63</v>
      </c>
      <c r="C68" s="3" t="s">
        <v>391</v>
      </c>
      <c r="D68" s="3" t="s">
        <v>548</v>
      </c>
      <c r="E68" s="3" t="s">
        <v>563</v>
      </c>
      <c r="F68" s="28" t="s">
        <v>564</v>
      </c>
      <c r="G68" s="5">
        <v>105.18908999999999</v>
      </c>
      <c r="H68" s="5">
        <v>10.65737</v>
      </c>
      <c r="I68" s="5">
        <v>105.18759</v>
      </c>
      <c r="J68" s="5">
        <v>10.65648</v>
      </c>
      <c r="K68" s="3">
        <v>210</v>
      </c>
      <c r="L68" s="3"/>
      <c r="M68" s="13"/>
      <c r="N68" s="3"/>
      <c r="O68" s="13"/>
      <c r="P68" s="3"/>
      <c r="Q68" s="3">
        <v>1</v>
      </c>
      <c r="R68" s="3"/>
      <c r="S68" s="3"/>
      <c r="T68" s="47" t="s">
        <v>600</v>
      </c>
      <c r="U68" s="49">
        <v>3</v>
      </c>
      <c r="V68" s="10" t="s">
        <v>664</v>
      </c>
      <c r="W68" s="10" t="s">
        <v>680</v>
      </c>
    </row>
    <row r="69" spans="1:23" ht="18" x14ac:dyDescent="0.3">
      <c r="A69" s="19" t="s">
        <v>53</v>
      </c>
      <c r="B69" s="21">
        <v>64</v>
      </c>
      <c r="C69" s="3" t="s">
        <v>391</v>
      </c>
      <c r="D69" s="3" t="s">
        <v>548</v>
      </c>
      <c r="E69" s="3" t="s">
        <v>564</v>
      </c>
      <c r="F69" s="28" t="s">
        <v>565</v>
      </c>
      <c r="G69" s="5">
        <v>105.18759</v>
      </c>
      <c r="H69" s="5">
        <v>10.65648</v>
      </c>
      <c r="I69" s="5">
        <v>105.18646</v>
      </c>
      <c r="J69" s="5">
        <v>10.65513</v>
      </c>
      <c r="K69" s="3">
        <v>210</v>
      </c>
      <c r="L69" s="3"/>
      <c r="M69" s="13"/>
      <c r="N69" s="3"/>
      <c r="O69" s="13"/>
      <c r="P69" s="3"/>
      <c r="Q69" s="3">
        <v>1</v>
      </c>
      <c r="R69" s="3"/>
      <c r="S69" s="3"/>
      <c r="T69" s="47" t="s">
        <v>600</v>
      </c>
      <c r="U69" s="49">
        <v>3</v>
      </c>
      <c r="V69" s="10" t="s">
        <v>664</v>
      </c>
      <c r="W69" s="10" t="s">
        <v>680</v>
      </c>
    </row>
    <row r="70" spans="1:23" ht="18" x14ac:dyDescent="0.3">
      <c r="A70" s="19" t="s">
        <v>53</v>
      </c>
      <c r="B70" s="21">
        <v>65</v>
      </c>
      <c r="C70" s="3" t="s">
        <v>391</v>
      </c>
      <c r="D70" s="3" t="s">
        <v>548</v>
      </c>
      <c r="E70" s="3" t="s">
        <v>565</v>
      </c>
      <c r="F70" s="28" t="s">
        <v>566</v>
      </c>
      <c r="G70" s="5">
        <v>105.18646</v>
      </c>
      <c r="H70" s="5">
        <v>10.65513</v>
      </c>
      <c r="I70" s="5">
        <v>105.18494</v>
      </c>
      <c r="J70" s="5">
        <v>10.65367</v>
      </c>
      <c r="K70" s="3">
        <v>210</v>
      </c>
      <c r="L70" s="3"/>
      <c r="M70" s="13"/>
      <c r="N70" s="3"/>
      <c r="O70" s="13"/>
      <c r="P70" s="3"/>
      <c r="Q70" s="3">
        <v>1</v>
      </c>
      <c r="R70" s="3"/>
      <c r="S70" s="3"/>
      <c r="T70" s="47" t="s">
        <v>600</v>
      </c>
      <c r="U70" s="49">
        <v>3</v>
      </c>
      <c r="V70" s="10" t="s">
        <v>664</v>
      </c>
      <c r="W70" s="10" t="s">
        <v>680</v>
      </c>
    </row>
    <row r="71" spans="1:23" ht="18" x14ac:dyDescent="0.3">
      <c r="A71" s="19" t="s">
        <v>53</v>
      </c>
      <c r="B71" s="21">
        <v>66</v>
      </c>
      <c r="C71" s="3" t="s">
        <v>391</v>
      </c>
      <c r="D71" s="3" t="s">
        <v>548</v>
      </c>
      <c r="E71" s="3" t="s">
        <v>566</v>
      </c>
      <c r="F71" s="28" t="s">
        <v>567</v>
      </c>
      <c r="G71" s="5">
        <v>105.18494</v>
      </c>
      <c r="H71" s="5">
        <v>10.65367</v>
      </c>
      <c r="I71" s="5">
        <v>105.18326</v>
      </c>
      <c r="J71" s="5">
        <v>10.65204</v>
      </c>
      <c r="K71" s="3">
        <v>210</v>
      </c>
      <c r="L71" s="3"/>
      <c r="M71" s="13"/>
      <c r="N71" s="3">
        <v>1</v>
      </c>
      <c r="O71" s="13"/>
      <c r="P71" s="3"/>
      <c r="Q71" s="3">
        <v>1</v>
      </c>
      <c r="R71" s="3"/>
      <c r="S71" s="3"/>
      <c r="T71" s="47" t="s">
        <v>600</v>
      </c>
      <c r="U71" s="49">
        <v>3</v>
      </c>
      <c r="V71" s="10" t="s">
        <v>664</v>
      </c>
      <c r="W71" s="10" t="s">
        <v>680</v>
      </c>
    </row>
    <row r="72" spans="1:23" ht="18" x14ac:dyDescent="0.3">
      <c r="A72" s="19" t="s">
        <v>53</v>
      </c>
      <c r="B72" s="21">
        <v>67</v>
      </c>
      <c r="C72" s="3" t="s">
        <v>391</v>
      </c>
      <c r="D72" s="3" t="s">
        <v>548</v>
      </c>
      <c r="E72" s="3" t="s">
        <v>567</v>
      </c>
      <c r="F72" s="28" t="s">
        <v>568</v>
      </c>
      <c r="G72" s="5">
        <v>105.18326</v>
      </c>
      <c r="H72" s="5">
        <v>10.65204</v>
      </c>
      <c r="I72" s="5">
        <v>105.18123</v>
      </c>
      <c r="J72" s="5">
        <v>10.650040000000001</v>
      </c>
      <c r="K72" s="3">
        <v>270</v>
      </c>
      <c r="L72" s="3"/>
      <c r="M72" s="13"/>
      <c r="N72" s="3"/>
      <c r="O72" s="13"/>
      <c r="P72" s="3"/>
      <c r="Q72" s="3">
        <v>1</v>
      </c>
      <c r="R72" s="3"/>
      <c r="S72" s="3"/>
      <c r="T72" s="19" t="s">
        <v>600</v>
      </c>
      <c r="U72" s="49">
        <v>3</v>
      </c>
      <c r="V72" s="10" t="s">
        <v>664</v>
      </c>
      <c r="W72" s="10" t="s">
        <v>680</v>
      </c>
    </row>
    <row r="73" spans="1:23" ht="18" x14ac:dyDescent="0.3">
      <c r="A73" s="19" t="s">
        <v>53</v>
      </c>
      <c r="B73" s="21">
        <v>68</v>
      </c>
      <c r="C73" s="3" t="s">
        <v>391</v>
      </c>
      <c r="D73" s="3" t="s">
        <v>548</v>
      </c>
      <c r="E73" s="3" t="s">
        <v>568</v>
      </c>
      <c r="F73" s="28" t="s">
        <v>569</v>
      </c>
      <c r="G73" s="5">
        <v>105.18123</v>
      </c>
      <c r="H73" s="5">
        <v>10.650040000000001</v>
      </c>
      <c r="I73" s="5">
        <v>105.17968</v>
      </c>
      <c r="J73" s="5">
        <v>10.64851</v>
      </c>
      <c r="K73" s="3">
        <v>240</v>
      </c>
      <c r="L73" s="3"/>
      <c r="M73" s="13"/>
      <c r="N73" s="3"/>
      <c r="O73" s="13"/>
      <c r="P73" s="3"/>
      <c r="Q73" s="3">
        <v>1</v>
      </c>
      <c r="R73" s="3"/>
      <c r="S73" s="3"/>
      <c r="T73" s="19" t="s">
        <v>600</v>
      </c>
      <c r="U73" s="49">
        <v>3</v>
      </c>
      <c r="V73" s="10" t="s">
        <v>664</v>
      </c>
      <c r="W73" s="10" t="s">
        <v>680</v>
      </c>
    </row>
    <row r="74" spans="1:23" ht="18" x14ac:dyDescent="0.3">
      <c r="A74" s="19" t="s">
        <v>53</v>
      </c>
      <c r="B74" s="21">
        <v>69</v>
      </c>
      <c r="C74" s="3" t="s">
        <v>391</v>
      </c>
      <c r="D74" s="3" t="s">
        <v>548</v>
      </c>
      <c r="E74" s="3" t="s">
        <v>569</v>
      </c>
      <c r="F74" s="28" t="s">
        <v>570</v>
      </c>
      <c r="G74" s="5">
        <v>105.17968</v>
      </c>
      <c r="H74" s="5">
        <v>10.64851</v>
      </c>
      <c r="I74" s="5">
        <v>105.17795</v>
      </c>
      <c r="J74" s="5">
        <v>10.64678</v>
      </c>
      <c r="K74" s="3">
        <v>240</v>
      </c>
      <c r="L74" s="3"/>
      <c r="M74" s="13"/>
      <c r="N74" s="3"/>
      <c r="O74" s="13"/>
      <c r="P74" s="3"/>
      <c r="Q74" s="3">
        <v>1</v>
      </c>
      <c r="R74" s="3"/>
      <c r="S74" s="3"/>
      <c r="T74" s="19" t="s">
        <v>600</v>
      </c>
      <c r="U74" s="49">
        <v>3</v>
      </c>
      <c r="V74" s="10" t="s">
        <v>664</v>
      </c>
      <c r="W74" s="10" t="s">
        <v>680</v>
      </c>
    </row>
    <row r="75" spans="1:23" ht="18" x14ac:dyDescent="0.3">
      <c r="A75" s="19" t="s">
        <v>53</v>
      </c>
      <c r="B75" s="21">
        <v>70</v>
      </c>
      <c r="C75" s="3" t="s">
        <v>391</v>
      </c>
      <c r="D75" s="3" t="s">
        <v>548</v>
      </c>
      <c r="E75" s="3" t="s">
        <v>570</v>
      </c>
      <c r="F75" s="28" t="s">
        <v>571</v>
      </c>
      <c r="G75" s="5">
        <v>105.17795</v>
      </c>
      <c r="H75" s="5">
        <v>10.64678</v>
      </c>
      <c r="I75" s="5">
        <v>105.17688</v>
      </c>
      <c r="J75" s="5">
        <v>10.64575</v>
      </c>
      <c r="K75" s="3">
        <v>210</v>
      </c>
      <c r="L75" s="3"/>
      <c r="M75" s="13"/>
      <c r="N75" s="3">
        <v>1</v>
      </c>
      <c r="O75" s="13"/>
      <c r="P75" s="3"/>
      <c r="Q75" s="3">
        <v>1</v>
      </c>
      <c r="R75" s="3"/>
      <c r="S75" s="3"/>
      <c r="T75" s="19" t="s">
        <v>600</v>
      </c>
      <c r="U75" s="49">
        <v>3</v>
      </c>
      <c r="V75" s="10" t="s">
        <v>664</v>
      </c>
      <c r="W75" s="10" t="s">
        <v>680</v>
      </c>
    </row>
    <row r="76" spans="1:23" ht="18" x14ac:dyDescent="0.3">
      <c r="A76" s="19" t="s">
        <v>53</v>
      </c>
      <c r="B76" s="21">
        <v>71</v>
      </c>
      <c r="C76" s="3" t="s">
        <v>391</v>
      </c>
      <c r="D76" s="3" t="s">
        <v>548</v>
      </c>
      <c r="E76" s="3" t="s">
        <v>571</v>
      </c>
      <c r="F76" s="28" t="s">
        <v>572</v>
      </c>
      <c r="G76" s="5">
        <v>105.17688</v>
      </c>
      <c r="H76" s="5">
        <v>10.64575</v>
      </c>
      <c r="I76" s="5">
        <v>105.17587</v>
      </c>
      <c r="J76" s="5">
        <v>10.644740000000001</v>
      </c>
      <c r="K76" s="3">
        <v>160</v>
      </c>
      <c r="L76" s="3"/>
      <c r="M76" s="13"/>
      <c r="N76" s="3"/>
      <c r="O76" s="13"/>
      <c r="P76" s="3"/>
      <c r="Q76" s="3">
        <v>1</v>
      </c>
      <c r="R76" s="3"/>
      <c r="S76" s="3"/>
      <c r="T76" s="47" t="s">
        <v>600</v>
      </c>
      <c r="U76" s="49">
        <v>3</v>
      </c>
      <c r="V76" s="10" t="s">
        <v>664</v>
      </c>
      <c r="W76" s="10" t="s">
        <v>680</v>
      </c>
    </row>
    <row r="77" spans="1:23" ht="18" x14ac:dyDescent="0.3">
      <c r="A77" s="19" t="s">
        <v>53</v>
      </c>
      <c r="B77" s="21">
        <v>72</v>
      </c>
      <c r="C77" s="3" t="s">
        <v>391</v>
      </c>
      <c r="D77" s="3" t="s">
        <v>548</v>
      </c>
      <c r="E77" s="3" t="s">
        <v>572</v>
      </c>
      <c r="F77" s="28" t="s">
        <v>573</v>
      </c>
      <c r="G77" s="5">
        <v>105.17587</v>
      </c>
      <c r="H77" s="5">
        <v>10.644740000000001</v>
      </c>
      <c r="I77" s="5">
        <v>105.17344</v>
      </c>
      <c r="J77" s="5">
        <v>10.64245</v>
      </c>
      <c r="K77" s="3">
        <v>320</v>
      </c>
      <c r="L77" s="3"/>
      <c r="M77" s="13"/>
      <c r="N77" s="3"/>
      <c r="O77" s="13"/>
      <c r="P77" s="3"/>
      <c r="Q77" s="3">
        <v>1</v>
      </c>
      <c r="R77" s="3"/>
      <c r="S77" s="3"/>
      <c r="T77" s="47" t="s">
        <v>600</v>
      </c>
      <c r="U77" s="49">
        <v>3</v>
      </c>
      <c r="V77" s="10" t="s">
        <v>664</v>
      </c>
      <c r="W77" s="10" t="s">
        <v>680</v>
      </c>
    </row>
    <row r="78" spans="1:23" ht="31.2" x14ac:dyDescent="0.3">
      <c r="A78" s="19" t="s">
        <v>53</v>
      </c>
      <c r="B78" s="21">
        <v>73</v>
      </c>
      <c r="C78" s="3" t="s">
        <v>391</v>
      </c>
      <c r="D78" s="3" t="s">
        <v>574</v>
      </c>
      <c r="E78" s="3" t="s">
        <v>575</v>
      </c>
      <c r="F78" s="28" t="s">
        <v>576</v>
      </c>
      <c r="G78" s="5">
        <v>105.20068999999999</v>
      </c>
      <c r="H78" s="5">
        <v>10.642770000000001</v>
      </c>
      <c r="I78" s="5">
        <v>105.20056</v>
      </c>
      <c r="J78" s="5">
        <v>10.64376</v>
      </c>
      <c r="K78" s="3">
        <v>160</v>
      </c>
      <c r="L78" s="3"/>
      <c r="M78" s="13"/>
      <c r="N78" s="3"/>
      <c r="O78" s="13"/>
      <c r="P78" s="3"/>
      <c r="Q78" s="3">
        <v>1</v>
      </c>
      <c r="R78" s="3"/>
      <c r="S78" s="3"/>
      <c r="T78" s="47" t="s">
        <v>601</v>
      </c>
      <c r="U78" s="49">
        <v>2</v>
      </c>
      <c r="V78" s="10" t="s">
        <v>664</v>
      </c>
      <c r="W78" s="10" t="s">
        <v>680</v>
      </c>
    </row>
    <row r="79" spans="1:23" ht="31.2" x14ac:dyDescent="0.3">
      <c r="A79" s="19" t="s">
        <v>53</v>
      </c>
      <c r="B79" s="21">
        <v>74</v>
      </c>
      <c r="C79" s="3" t="s">
        <v>391</v>
      </c>
      <c r="D79" s="3" t="s">
        <v>574</v>
      </c>
      <c r="E79" s="3" t="s">
        <v>576</v>
      </c>
      <c r="F79" s="28" t="s">
        <v>577</v>
      </c>
      <c r="G79" s="5">
        <v>105.20056</v>
      </c>
      <c r="H79" s="5">
        <v>10.64376</v>
      </c>
      <c r="I79" s="5">
        <v>105.20162999999999</v>
      </c>
      <c r="J79" s="5">
        <v>10.64363</v>
      </c>
      <c r="K79" s="3">
        <v>160</v>
      </c>
      <c r="L79" s="3"/>
      <c r="M79" s="13"/>
      <c r="N79" s="3">
        <v>1</v>
      </c>
      <c r="O79" s="13"/>
      <c r="P79" s="3"/>
      <c r="Q79" s="3">
        <v>1</v>
      </c>
      <c r="R79" s="3"/>
      <c r="S79" s="3"/>
      <c r="T79" s="47" t="s">
        <v>601</v>
      </c>
      <c r="U79" s="49">
        <v>2</v>
      </c>
      <c r="V79" s="10" t="s">
        <v>664</v>
      </c>
      <c r="W79" s="10" t="s">
        <v>680</v>
      </c>
    </row>
    <row r="80" spans="1:23" ht="31.2" x14ac:dyDescent="0.3">
      <c r="A80" s="19" t="s">
        <v>53</v>
      </c>
      <c r="B80" s="21">
        <v>75</v>
      </c>
      <c r="C80" s="3" t="s">
        <v>391</v>
      </c>
      <c r="D80" s="3" t="s">
        <v>574</v>
      </c>
      <c r="E80" s="3" t="s">
        <v>577</v>
      </c>
      <c r="F80" s="28" t="s">
        <v>578</v>
      </c>
      <c r="G80" s="5">
        <v>105.20162999999999</v>
      </c>
      <c r="H80" s="5">
        <v>10.64363</v>
      </c>
      <c r="I80" s="5">
        <v>105.20376</v>
      </c>
      <c r="J80" s="5">
        <v>10.643090000000001</v>
      </c>
      <c r="K80" s="3">
        <v>240</v>
      </c>
      <c r="L80" s="3"/>
      <c r="M80" s="13"/>
      <c r="N80" s="3"/>
      <c r="O80" s="13"/>
      <c r="P80" s="3"/>
      <c r="Q80" s="3">
        <v>1</v>
      </c>
      <c r="R80" s="3"/>
      <c r="S80" s="3"/>
      <c r="T80" s="47" t="s">
        <v>601</v>
      </c>
      <c r="U80" s="49">
        <v>2</v>
      </c>
      <c r="V80" s="10" t="s">
        <v>664</v>
      </c>
      <c r="W80" s="10" t="s">
        <v>680</v>
      </c>
    </row>
    <row r="81" spans="1:23" ht="31.2" x14ac:dyDescent="0.3">
      <c r="A81" s="19" t="s">
        <v>53</v>
      </c>
      <c r="B81" s="21">
        <v>76</v>
      </c>
      <c r="C81" s="3" t="s">
        <v>391</v>
      </c>
      <c r="D81" s="3" t="s">
        <v>574</v>
      </c>
      <c r="E81" s="3" t="s">
        <v>578</v>
      </c>
      <c r="F81" s="28" t="s">
        <v>579</v>
      </c>
      <c r="G81" s="5">
        <v>105.20376</v>
      </c>
      <c r="H81" s="5">
        <v>10.643090000000001</v>
      </c>
      <c r="I81" s="5">
        <v>105.20565999999999</v>
      </c>
      <c r="J81" s="5">
        <v>10.64292</v>
      </c>
      <c r="K81" s="3">
        <v>210</v>
      </c>
      <c r="L81" s="3"/>
      <c r="M81" s="13"/>
      <c r="N81" s="3"/>
      <c r="O81" s="13"/>
      <c r="P81" s="3"/>
      <c r="Q81" s="3">
        <v>1</v>
      </c>
      <c r="R81" s="3"/>
      <c r="S81" s="3"/>
      <c r="T81" s="47" t="s">
        <v>601</v>
      </c>
      <c r="U81" s="49">
        <v>2</v>
      </c>
      <c r="V81" s="10" t="s">
        <v>664</v>
      </c>
      <c r="W81" s="10" t="s">
        <v>680</v>
      </c>
    </row>
    <row r="82" spans="1:23" ht="31.2" x14ac:dyDescent="0.3">
      <c r="A82" s="19" t="s">
        <v>53</v>
      </c>
      <c r="B82" s="21">
        <v>77</v>
      </c>
      <c r="C82" s="3" t="s">
        <v>391</v>
      </c>
      <c r="D82" s="3" t="s">
        <v>574</v>
      </c>
      <c r="E82" s="3" t="s">
        <v>579</v>
      </c>
      <c r="F82" s="28" t="s">
        <v>580</v>
      </c>
      <c r="G82" s="5">
        <v>105.20565999999999</v>
      </c>
      <c r="H82" s="5">
        <v>10.64292</v>
      </c>
      <c r="I82" s="5">
        <v>105.20707</v>
      </c>
      <c r="J82" s="5">
        <v>10.64185</v>
      </c>
      <c r="K82" s="3">
        <v>210</v>
      </c>
      <c r="L82" s="3"/>
      <c r="M82" s="13"/>
      <c r="N82" s="3"/>
      <c r="O82" s="13"/>
      <c r="P82" s="3"/>
      <c r="Q82" s="3">
        <v>1</v>
      </c>
      <c r="R82" s="3"/>
      <c r="S82" s="3"/>
      <c r="T82" s="47" t="s">
        <v>601</v>
      </c>
      <c r="U82" s="49">
        <v>2</v>
      </c>
      <c r="V82" s="10" t="s">
        <v>664</v>
      </c>
      <c r="W82" s="10" t="s">
        <v>680</v>
      </c>
    </row>
    <row r="83" spans="1:23" ht="31.2" x14ac:dyDescent="0.3">
      <c r="A83" s="19" t="s">
        <v>54</v>
      </c>
      <c r="B83" s="21">
        <v>78</v>
      </c>
      <c r="C83" s="3" t="s">
        <v>391</v>
      </c>
      <c r="D83" s="3" t="s">
        <v>574</v>
      </c>
      <c r="E83" s="3" t="s">
        <v>580</v>
      </c>
      <c r="F83" s="28" t="s">
        <v>581</v>
      </c>
      <c r="G83" s="5">
        <v>105.20707</v>
      </c>
      <c r="H83" s="5">
        <v>10.64185</v>
      </c>
      <c r="I83" s="5">
        <v>105.20865000000001</v>
      </c>
      <c r="J83" s="5">
        <v>10.640319999999999</v>
      </c>
      <c r="K83" s="3">
        <v>240</v>
      </c>
      <c r="L83" s="3"/>
      <c r="M83" s="13"/>
      <c r="N83" s="3">
        <v>1</v>
      </c>
      <c r="O83" s="13"/>
      <c r="P83" s="3"/>
      <c r="Q83" s="3">
        <v>1</v>
      </c>
      <c r="R83" s="3"/>
      <c r="S83" s="3"/>
      <c r="T83" s="47" t="s">
        <v>601</v>
      </c>
      <c r="U83" s="49">
        <v>2</v>
      </c>
      <c r="V83" s="10" t="s">
        <v>664</v>
      </c>
      <c r="W83" s="10" t="s">
        <v>680</v>
      </c>
    </row>
    <row r="84" spans="1:23" ht="31.2" x14ac:dyDescent="0.3">
      <c r="A84" s="19" t="s">
        <v>54</v>
      </c>
      <c r="B84" s="21">
        <v>79</v>
      </c>
      <c r="C84" s="3" t="s">
        <v>391</v>
      </c>
      <c r="D84" s="3" t="s">
        <v>574</v>
      </c>
      <c r="E84" s="3" t="s">
        <v>581</v>
      </c>
      <c r="F84" s="28" t="s">
        <v>582</v>
      </c>
      <c r="G84" s="5">
        <v>105.20865000000001</v>
      </c>
      <c r="H84" s="5">
        <v>10.640319999999999</v>
      </c>
      <c r="I84" s="5">
        <v>105.20904</v>
      </c>
      <c r="J84" s="5">
        <v>10.638669999999999</v>
      </c>
      <c r="K84" s="3">
        <v>210</v>
      </c>
      <c r="L84" s="3"/>
      <c r="M84" s="13"/>
      <c r="N84" s="3"/>
      <c r="O84" s="13"/>
      <c r="P84" s="3"/>
      <c r="Q84" s="3">
        <v>1</v>
      </c>
      <c r="R84" s="3"/>
      <c r="S84" s="3"/>
      <c r="T84" s="47" t="s">
        <v>601</v>
      </c>
      <c r="U84" s="49">
        <v>2</v>
      </c>
      <c r="V84" s="10" t="s">
        <v>664</v>
      </c>
      <c r="W84" s="10" t="s">
        <v>680</v>
      </c>
    </row>
    <row r="85" spans="1:23" ht="31.2" x14ac:dyDescent="0.3">
      <c r="A85" s="19" t="s">
        <v>54</v>
      </c>
      <c r="B85" s="21">
        <v>80</v>
      </c>
      <c r="C85" s="3" t="s">
        <v>391</v>
      </c>
      <c r="D85" s="3" t="s">
        <v>574</v>
      </c>
      <c r="E85" s="3" t="s">
        <v>582</v>
      </c>
      <c r="F85" s="28" t="s">
        <v>583</v>
      </c>
      <c r="G85" s="5">
        <v>105.20904</v>
      </c>
      <c r="H85" s="5">
        <v>10.638669999999999</v>
      </c>
      <c r="I85" s="5">
        <v>105.20901000000001</v>
      </c>
      <c r="J85" s="5">
        <v>10.63672</v>
      </c>
      <c r="K85" s="3">
        <v>210</v>
      </c>
      <c r="L85" s="3"/>
      <c r="M85" s="13"/>
      <c r="N85" s="3"/>
      <c r="O85" s="13"/>
      <c r="P85" s="3"/>
      <c r="Q85" s="3">
        <v>1</v>
      </c>
      <c r="R85" s="3"/>
      <c r="S85" s="3"/>
      <c r="T85" s="47" t="s">
        <v>601</v>
      </c>
      <c r="U85" s="49">
        <v>2</v>
      </c>
      <c r="V85" s="10" t="s">
        <v>664</v>
      </c>
      <c r="W85" s="10" t="s">
        <v>680</v>
      </c>
    </row>
    <row r="86" spans="1:23" ht="31.2" x14ac:dyDescent="0.3">
      <c r="A86" s="19" t="s">
        <v>54</v>
      </c>
      <c r="B86" s="21">
        <v>81</v>
      </c>
      <c r="C86" s="3" t="s">
        <v>391</v>
      </c>
      <c r="D86" s="3" t="s">
        <v>574</v>
      </c>
      <c r="E86" s="3" t="s">
        <v>583</v>
      </c>
      <c r="F86" s="28" t="s">
        <v>584</v>
      </c>
      <c r="G86" s="5">
        <v>105.20901000000001</v>
      </c>
      <c r="H86" s="5">
        <v>10.63672</v>
      </c>
      <c r="I86" s="5">
        <v>105.20899</v>
      </c>
      <c r="J86" s="5">
        <v>10.63536</v>
      </c>
      <c r="K86" s="3">
        <v>160</v>
      </c>
      <c r="L86" s="3"/>
      <c r="M86" s="13"/>
      <c r="N86" s="3"/>
      <c r="O86" s="13"/>
      <c r="P86" s="3"/>
      <c r="Q86" s="3">
        <v>1</v>
      </c>
      <c r="R86" s="3"/>
      <c r="S86" s="3"/>
      <c r="T86" s="47" t="s">
        <v>601</v>
      </c>
      <c r="U86" s="49">
        <v>2</v>
      </c>
      <c r="V86" s="10" t="s">
        <v>664</v>
      </c>
      <c r="W86" s="10" t="s">
        <v>680</v>
      </c>
    </row>
    <row r="87" spans="1:23" ht="31.2" x14ac:dyDescent="0.3">
      <c r="A87" s="19" t="s">
        <v>54</v>
      </c>
      <c r="B87" s="21">
        <v>82</v>
      </c>
      <c r="C87" s="3" t="s">
        <v>391</v>
      </c>
      <c r="D87" s="3" t="s">
        <v>574</v>
      </c>
      <c r="E87" s="3" t="s">
        <v>584</v>
      </c>
      <c r="F87" s="28" t="s">
        <v>585</v>
      </c>
      <c r="G87" s="5">
        <v>105.20899</v>
      </c>
      <c r="H87" s="5">
        <v>10.63536</v>
      </c>
      <c r="I87" s="5">
        <v>105.20896</v>
      </c>
      <c r="J87" s="5">
        <v>10.634080000000001</v>
      </c>
      <c r="K87" s="3">
        <v>160</v>
      </c>
      <c r="L87" s="3"/>
      <c r="M87" s="13"/>
      <c r="N87" s="3">
        <v>1</v>
      </c>
      <c r="O87" s="13"/>
      <c r="P87" s="3"/>
      <c r="Q87" s="3">
        <v>1</v>
      </c>
      <c r="R87" s="3"/>
      <c r="S87" s="3"/>
      <c r="T87" s="47" t="s">
        <v>601</v>
      </c>
      <c r="U87" s="49">
        <v>2</v>
      </c>
      <c r="V87" s="10" t="s">
        <v>664</v>
      </c>
      <c r="W87" s="10" t="s">
        <v>680</v>
      </c>
    </row>
    <row r="88" spans="1:23" ht="31.2" x14ac:dyDescent="0.3">
      <c r="A88" s="19" t="s">
        <v>54</v>
      </c>
      <c r="B88" s="21">
        <v>83</v>
      </c>
      <c r="C88" s="3" t="s">
        <v>391</v>
      </c>
      <c r="D88" s="3" t="s">
        <v>574</v>
      </c>
      <c r="E88" s="3" t="s">
        <v>585</v>
      </c>
      <c r="F88" s="28" t="s">
        <v>586</v>
      </c>
      <c r="G88" s="5">
        <v>105.20896</v>
      </c>
      <c r="H88" s="5">
        <v>10.634080000000001</v>
      </c>
      <c r="I88" s="5">
        <v>105.20883000000001</v>
      </c>
      <c r="J88" s="5">
        <v>10.63212</v>
      </c>
      <c r="K88" s="3">
        <v>210</v>
      </c>
      <c r="L88" s="3"/>
      <c r="M88" s="13"/>
      <c r="N88" s="3"/>
      <c r="O88" s="13"/>
      <c r="P88" s="3"/>
      <c r="Q88" s="3">
        <v>1</v>
      </c>
      <c r="R88" s="3"/>
      <c r="S88" s="3"/>
      <c r="T88" s="47" t="s">
        <v>601</v>
      </c>
      <c r="U88" s="49">
        <v>2</v>
      </c>
      <c r="V88" s="10" t="s">
        <v>664</v>
      </c>
      <c r="W88" s="10" t="s">
        <v>680</v>
      </c>
    </row>
    <row r="89" spans="1:23" ht="31.2" x14ac:dyDescent="0.3">
      <c r="A89" s="19" t="s">
        <v>54</v>
      </c>
      <c r="B89" s="21">
        <v>84</v>
      </c>
      <c r="C89" s="3" t="s">
        <v>391</v>
      </c>
      <c r="D89" s="3" t="s">
        <v>574</v>
      </c>
      <c r="E89" s="3" t="s">
        <v>586</v>
      </c>
      <c r="F89" s="28" t="s">
        <v>587</v>
      </c>
      <c r="G89" s="5">
        <v>105.20883000000001</v>
      </c>
      <c r="H89" s="5">
        <v>10.63212</v>
      </c>
      <c r="I89" s="5">
        <v>105.20878999999999</v>
      </c>
      <c r="J89" s="5">
        <v>10.62912</v>
      </c>
      <c r="K89" s="3">
        <v>320</v>
      </c>
      <c r="L89" s="3"/>
      <c r="M89" s="13"/>
      <c r="N89" s="3"/>
      <c r="O89" s="13"/>
      <c r="P89" s="3"/>
      <c r="Q89" s="3">
        <v>1</v>
      </c>
      <c r="R89" s="3"/>
      <c r="S89" s="3"/>
      <c r="T89" s="47" t="s">
        <v>601</v>
      </c>
      <c r="U89" s="49">
        <v>2</v>
      </c>
      <c r="V89" s="10" t="s">
        <v>664</v>
      </c>
      <c r="W89" s="10" t="s">
        <v>680</v>
      </c>
    </row>
  </sheetData>
  <autoFilter ref="A5:U89" xr:uid="{FDB4E9B7-0F6C-4E7C-ACF1-54E7322F5ADC}"/>
  <mergeCells count="16">
    <mergeCell ref="V4:W4"/>
    <mergeCell ref="B1:U1"/>
    <mergeCell ref="B2:H2"/>
    <mergeCell ref="I2:J2"/>
    <mergeCell ref="S4:S5"/>
    <mergeCell ref="T4:T5"/>
    <mergeCell ref="U4:U5"/>
    <mergeCell ref="B3:H3"/>
    <mergeCell ref="I3:J3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6:U392" xr:uid="{3614DCB2-46C9-4C12-B13F-E8003F8B1CB3}">
      <formula1>"1,2,3"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F633-73BE-4BD8-B403-F23907A75F98}">
  <sheetPr>
    <tabColor rgb="FF00B0F0"/>
  </sheetPr>
  <dimension ref="A1:W79"/>
  <sheetViews>
    <sheetView topLeftCell="E12" zoomScale="77" zoomScaleNormal="77" workbookViewId="0">
      <selection activeCell="L58" sqref="L58"/>
    </sheetView>
  </sheetViews>
  <sheetFormatPr defaultRowHeight="14.4" x14ac:dyDescent="0.3"/>
  <cols>
    <col min="1" max="1" width="68.33203125" hidden="1" customWidth="1"/>
    <col min="2" max="2" width="5.88671875" bestFit="1" customWidth="1"/>
    <col min="3" max="3" width="10.44140625" customWidth="1"/>
    <col min="4" max="4" width="15.44140625" bestFit="1" customWidth="1"/>
    <col min="5" max="5" width="45.88671875" customWidth="1"/>
    <col min="6" max="6" width="41.33203125" customWidth="1"/>
    <col min="7" max="10" width="14.6640625" style="7" bestFit="1" customWidth="1"/>
    <col min="11" max="11" width="18.44140625" customWidth="1"/>
    <col min="12" max="13" width="12.77734375" customWidth="1"/>
    <col min="14" max="14" width="7.88671875" bestFit="1" customWidth="1"/>
    <col min="15" max="15" width="7.88671875" customWidth="1"/>
    <col min="16" max="16" width="8.44140625" bestFit="1" customWidth="1"/>
    <col min="17" max="17" width="9.6640625" bestFit="1" customWidth="1"/>
    <col min="18" max="18" width="6.33203125" bestFit="1" customWidth="1"/>
    <col min="19" max="20" width="32.33203125" customWidth="1"/>
    <col min="21" max="21" width="14" customWidth="1"/>
    <col min="22" max="22" width="10" bestFit="1" customWidth="1"/>
    <col min="23" max="23" width="31.109375" bestFit="1" customWidth="1"/>
  </cols>
  <sheetData>
    <row r="1" spans="1:23" ht="46.2" customHeight="1" x14ac:dyDescent="0.3">
      <c r="A1" s="19"/>
      <c r="B1" s="101" t="s">
        <v>68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3" ht="16.8" x14ac:dyDescent="0.3">
      <c r="A2" s="19"/>
      <c r="B2" s="102"/>
      <c r="C2" s="102"/>
      <c r="D2" s="102"/>
      <c r="E2" s="102"/>
      <c r="F2" s="102"/>
      <c r="G2" s="102"/>
      <c r="H2" s="102"/>
      <c r="I2" s="103"/>
      <c r="J2" s="103"/>
      <c r="K2" s="29"/>
      <c r="L2" s="29"/>
      <c r="M2" s="29"/>
      <c r="N2" s="29"/>
      <c r="O2" s="29"/>
      <c r="P2" s="29"/>
      <c r="Q2" s="29"/>
      <c r="R2" s="29"/>
      <c r="S2" s="22"/>
      <c r="T2" s="22"/>
    </row>
    <row r="3" spans="1:23" ht="16.8" x14ac:dyDescent="0.3">
      <c r="A3" s="19"/>
      <c r="B3" s="99" t="s">
        <v>74</v>
      </c>
      <c r="C3" s="99"/>
      <c r="D3" s="99"/>
      <c r="E3" s="99"/>
      <c r="F3" s="99"/>
      <c r="G3" s="99"/>
      <c r="H3" s="99"/>
      <c r="I3" s="100" t="s">
        <v>385</v>
      </c>
      <c r="J3" s="100"/>
      <c r="K3" s="24">
        <f t="shared" ref="K3:R3" si="0">SUMIF($C$6:$C$4299,"Phú Tân",K6:K4299)</f>
        <v>10000</v>
      </c>
      <c r="L3" s="24">
        <f t="shared" si="0"/>
        <v>0</v>
      </c>
      <c r="M3" s="24">
        <f t="shared" si="0"/>
        <v>0</v>
      </c>
      <c r="N3" s="24">
        <f t="shared" si="0"/>
        <v>18</v>
      </c>
      <c r="O3" s="24">
        <f t="shared" si="0"/>
        <v>0</v>
      </c>
      <c r="P3" s="24">
        <f t="shared" si="0"/>
        <v>0</v>
      </c>
      <c r="Q3" s="24">
        <f t="shared" si="0"/>
        <v>61</v>
      </c>
      <c r="R3" s="24">
        <f t="shared" si="0"/>
        <v>0</v>
      </c>
      <c r="S3" s="22"/>
      <c r="T3" s="22"/>
    </row>
    <row r="4" spans="1:23" ht="42.6" customHeight="1" x14ac:dyDescent="0.3">
      <c r="A4" s="18" t="s">
        <v>6</v>
      </c>
      <c r="B4" s="94" t="s">
        <v>3</v>
      </c>
      <c r="C4" s="94" t="s">
        <v>7</v>
      </c>
      <c r="D4" s="94" t="s">
        <v>8</v>
      </c>
      <c r="E4" s="94" t="s">
        <v>9</v>
      </c>
      <c r="F4" s="94" t="s">
        <v>10</v>
      </c>
      <c r="G4" s="94" t="s">
        <v>65</v>
      </c>
      <c r="H4" s="94"/>
      <c r="I4" s="94" t="s">
        <v>66</v>
      </c>
      <c r="J4" s="94"/>
      <c r="K4" s="23" t="s">
        <v>69</v>
      </c>
      <c r="L4" s="23" t="s">
        <v>70</v>
      </c>
      <c r="M4" s="23" t="s">
        <v>71</v>
      </c>
      <c r="N4" s="23" t="s">
        <v>13</v>
      </c>
      <c r="O4" s="23" t="s">
        <v>72</v>
      </c>
      <c r="P4" s="23" t="s">
        <v>73</v>
      </c>
      <c r="Q4" s="23" t="s">
        <v>14</v>
      </c>
      <c r="R4" s="23" t="s">
        <v>15</v>
      </c>
      <c r="S4" s="94" t="s">
        <v>0</v>
      </c>
      <c r="T4" s="96" t="s">
        <v>67</v>
      </c>
      <c r="U4" s="98" t="s">
        <v>606</v>
      </c>
      <c r="V4" s="93" t="s">
        <v>661</v>
      </c>
      <c r="W4" s="93"/>
    </row>
    <row r="5" spans="1:23" ht="16.8" x14ac:dyDescent="0.3">
      <c r="A5" s="18"/>
      <c r="B5" s="95"/>
      <c r="C5" s="95"/>
      <c r="D5" s="95"/>
      <c r="E5" s="95"/>
      <c r="F5" s="95"/>
      <c r="G5" s="9" t="s">
        <v>11</v>
      </c>
      <c r="H5" s="9" t="s">
        <v>12</v>
      </c>
      <c r="I5" s="9" t="s">
        <v>11</v>
      </c>
      <c r="J5" s="9" t="s">
        <v>12</v>
      </c>
      <c r="K5" s="4">
        <f>SUBTOTAL(9,K6:K3929)</f>
        <v>10000</v>
      </c>
      <c r="L5" s="4">
        <f t="shared" ref="L5:R5" si="1">SUBTOTAL(9,L6:L3929)</f>
        <v>0</v>
      </c>
      <c r="M5" s="4">
        <f t="shared" si="1"/>
        <v>0</v>
      </c>
      <c r="N5" s="4">
        <f t="shared" si="1"/>
        <v>18</v>
      </c>
      <c r="O5" s="4">
        <f t="shared" si="1"/>
        <v>0</v>
      </c>
      <c r="P5" s="4">
        <f t="shared" si="1"/>
        <v>0</v>
      </c>
      <c r="Q5" s="4">
        <f t="shared" si="1"/>
        <v>61</v>
      </c>
      <c r="R5" s="4">
        <f t="shared" si="1"/>
        <v>0</v>
      </c>
      <c r="S5" s="95"/>
      <c r="T5" s="97"/>
      <c r="U5" s="98"/>
      <c r="V5" s="70" t="s">
        <v>662</v>
      </c>
      <c r="W5" s="70" t="s">
        <v>663</v>
      </c>
    </row>
    <row r="6" spans="1:23" ht="18" x14ac:dyDescent="0.35">
      <c r="A6" s="19" t="s">
        <v>23</v>
      </c>
      <c r="B6" s="21">
        <v>1</v>
      </c>
      <c r="C6" s="8" t="s">
        <v>223</v>
      </c>
      <c r="D6" s="35" t="s">
        <v>224</v>
      </c>
      <c r="E6" s="31" t="s">
        <v>225</v>
      </c>
      <c r="F6" s="31" t="s">
        <v>226</v>
      </c>
      <c r="G6" s="36">
        <v>105.15517</v>
      </c>
      <c r="H6" s="37">
        <v>10.706099999999999</v>
      </c>
      <c r="I6" s="36">
        <v>105.15356</v>
      </c>
      <c r="J6" s="37">
        <v>10.7065</v>
      </c>
      <c r="K6" s="35">
        <v>200</v>
      </c>
      <c r="L6" s="8"/>
      <c r="M6" s="13"/>
      <c r="N6" s="3">
        <v>1</v>
      </c>
      <c r="O6" s="13"/>
      <c r="P6" s="3"/>
      <c r="Q6" s="3">
        <v>1</v>
      </c>
      <c r="R6" s="3"/>
      <c r="S6" s="12" t="s">
        <v>64</v>
      </c>
      <c r="T6" s="51" t="s">
        <v>743</v>
      </c>
      <c r="U6" s="75">
        <v>1</v>
      </c>
      <c r="V6" s="60" t="s">
        <v>664</v>
      </c>
      <c r="W6" s="60" t="s">
        <v>665</v>
      </c>
    </row>
    <row r="7" spans="1:23" ht="18" x14ac:dyDescent="0.35">
      <c r="A7" s="19" t="s">
        <v>23</v>
      </c>
      <c r="B7" s="21">
        <v>2</v>
      </c>
      <c r="C7" s="8" t="s">
        <v>223</v>
      </c>
      <c r="D7" s="35" t="s">
        <v>224</v>
      </c>
      <c r="E7" s="31" t="s">
        <v>226</v>
      </c>
      <c r="F7" s="31" t="s">
        <v>227</v>
      </c>
      <c r="G7" s="36">
        <v>105.15356</v>
      </c>
      <c r="H7" s="37">
        <v>10.7065</v>
      </c>
      <c r="I7" s="38">
        <v>105.15295999999999</v>
      </c>
      <c r="J7" s="38">
        <v>10.706659999999999</v>
      </c>
      <c r="K7" s="35">
        <v>100</v>
      </c>
      <c r="L7" s="8"/>
      <c r="M7" s="13"/>
      <c r="N7" s="3"/>
      <c r="O7" s="13"/>
      <c r="P7" s="3"/>
      <c r="Q7" s="3"/>
      <c r="R7" s="3"/>
      <c r="S7" s="12" t="s">
        <v>64</v>
      </c>
      <c r="T7" s="51" t="s">
        <v>743</v>
      </c>
      <c r="U7" s="50">
        <v>1</v>
      </c>
      <c r="V7" s="60" t="s">
        <v>664</v>
      </c>
      <c r="W7" s="60" t="s">
        <v>665</v>
      </c>
    </row>
    <row r="8" spans="1:23" ht="18" x14ac:dyDescent="0.35">
      <c r="A8" s="19" t="s">
        <v>23</v>
      </c>
      <c r="B8" s="21">
        <v>3</v>
      </c>
      <c r="C8" s="8" t="s">
        <v>223</v>
      </c>
      <c r="D8" s="35" t="s">
        <v>224</v>
      </c>
      <c r="E8" s="31" t="s">
        <v>227</v>
      </c>
      <c r="F8" s="31" t="s">
        <v>228</v>
      </c>
      <c r="G8" s="38">
        <v>105.15295999999999</v>
      </c>
      <c r="H8" s="38">
        <v>10.706659999999999</v>
      </c>
      <c r="I8" s="38">
        <v>105.15175000000001</v>
      </c>
      <c r="J8" s="38">
        <v>10.707000000000001</v>
      </c>
      <c r="K8" s="35">
        <v>170</v>
      </c>
      <c r="L8" s="8"/>
      <c r="M8" s="13"/>
      <c r="N8" s="3"/>
      <c r="O8" s="13"/>
      <c r="P8" s="3"/>
      <c r="Q8" s="3">
        <v>1</v>
      </c>
      <c r="R8" s="3"/>
      <c r="S8" s="12" t="s">
        <v>64</v>
      </c>
      <c r="T8" s="51" t="s">
        <v>743</v>
      </c>
      <c r="U8" s="50">
        <v>1</v>
      </c>
      <c r="V8" s="60" t="s">
        <v>664</v>
      </c>
      <c r="W8" s="60" t="s">
        <v>665</v>
      </c>
    </row>
    <row r="9" spans="1:23" ht="18" x14ac:dyDescent="0.35">
      <c r="A9" s="19" t="s">
        <v>23</v>
      </c>
      <c r="B9" s="21">
        <v>4</v>
      </c>
      <c r="C9" s="8" t="s">
        <v>223</v>
      </c>
      <c r="D9" s="35" t="s">
        <v>224</v>
      </c>
      <c r="E9" s="31" t="s">
        <v>228</v>
      </c>
      <c r="F9" s="31" t="s">
        <v>229</v>
      </c>
      <c r="G9" s="38">
        <v>105.15175000000001</v>
      </c>
      <c r="H9" s="38">
        <v>10.707000000000001</v>
      </c>
      <c r="I9" s="38">
        <v>105.15303</v>
      </c>
      <c r="J9" s="38">
        <v>10.708259999999999</v>
      </c>
      <c r="K9" s="35">
        <v>500</v>
      </c>
      <c r="L9" s="8"/>
      <c r="M9" s="13"/>
      <c r="N9" s="3"/>
      <c r="O9" s="13"/>
      <c r="P9" s="3"/>
      <c r="Q9" s="3">
        <v>1</v>
      </c>
      <c r="R9" s="3"/>
      <c r="S9" s="12" t="s">
        <v>64</v>
      </c>
      <c r="T9" s="51" t="s">
        <v>743</v>
      </c>
      <c r="U9" s="50">
        <v>1</v>
      </c>
      <c r="V9" s="60" t="s">
        <v>664</v>
      </c>
      <c r="W9" s="60" t="s">
        <v>665</v>
      </c>
    </row>
    <row r="10" spans="1:23" ht="18" x14ac:dyDescent="0.35">
      <c r="A10" s="19" t="s">
        <v>24</v>
      </c>
      <c r="B10" s="21">
        <v>5</v>
      </c>
      <c r="C10" s="8" t="s">
        <v>223</v>
      </c>
      <c r="D10" s="35" t="s">
        <v>224</v>
      </c>
      <c r="E10" s="31" t="s">
        <v>229</v>
      </c>
      <c r="F10" s="31" t="s">
        <v>230</v>
      </c>
      <c r="G10" s="38">
        <v>105.15303</v>
      </c>
      <c r="H10" s="38">
        <v>10.708259999999999</v>
      </c>
      <c r="I10" s="38">
        <v>105.15455</v>
      </c>
      <c r="J10" s="38">
        <v>10.70819</v>
      </c>
      <c r="K10" s="35">
        <v>200</v>
      </c>
      <c r="L10" s="8"/>
      <c r="M10" s="13"/>
      <c r="N10" s="3">
        <v>1</v>
      </c>
      <c r="O10" s="13"/>
      <c r="P10" s="3"/>
      <c r="Q10" s="3"/>
      <c r="R10" s="3"/>
      <c r="S10" s="12" t="s">
        <v>64</v>
      </c>
      <c r="T10" s="51" t="s">
        <v>743</v>
      </c>
      <c r="U10" s="50">
        <v>1</v>
      </c>
      <c r="V10" s="60" t="s">
        <v>664</v>
      </c>
      <c r="W10" s="60" t="s">
        <v>665</v>
      </c>
    </row>
    <row r="11" spans="1:23" ht="18" x14ac:dyDescent="0.35">
      <c r="A11" s="19" t="s">
        <v>24</v>
      </c>
      <c r="B11" s="21">
        <v>6</v>
      </c>
      <c r="C11" s="8" t="s">
        <v>223</v>
      </c>
      <c r="D11" s="35" t="s">
        <v>224</v>
      </c>
      <c r="E11" s="31" t="s">
        <v>230</v>
      </c>
      <c r="F11" s="31" t="s">
        <v>231</v>
      </c>
      <c r="G11" s="38">
        <v>105.15455</v>
      </c>
      <c r="H11" s="38">
        <v>10.70819</v>
      </c>
      <c r="I11" s="38">
        <v>105.15522</v>
      </c>
      <c r="J11" s="38">
        <v>10.70809</v>
      </c>
      <c r="K11" s="35">
        <v>100</v>
      </c>
      <c r="L11" s="8"/>
      <c r="M11" s="13"/>
      <c r="N11" s="3"/>
      <c r="O11" s="13"/>
      <c r="P11" s="3"/>
      <c r="Q11" s="3">
        <v>1</v>
      </c>
      <c r="R11" s="3"/>
      <c r="S11" s="12" t="s">
        <v>64</v>
      </c>
      <c r="T11" s="51" t="s">
        <v>743</v>
      </c>
      <c r="U11" s="50">
        <v>1</v>
      </c>
      <c r="V11" s="60" t="s">
        <v>664</v>
      </c>
      <c r="W11" s="60" t="s">
        <v>665</v>
      </c>
    </row>
    <row r="12" spans="1:23" ht="18" x14ac:dyDescent="0.35">
      <c r="A12" s="19" t="s">
        <v>24</v>
      </c>
      <c r="B12" s="21">
        <v>7</v>
      </c>
      <c r="C12" s="8" t="s">
        <v>223</v>
      </c>
      <c r="D12" s="35" t="s">
        <v>224</v>
      </c>
      <c r="E12" s="31" t="s">
        <v>231</v>
      </c>
      <c r="F12" s="31" t="s">
        <v>232</v>
      </c>
      <c r="G12" s="38">
        <v>105.15522</v>
      </c>
      <c r="H12" s="38">
        <v>10.70809</v>
      </c>
      <c r="I12" s="38">
        <v>105.15567</v>
      </c>
      <c r="J12" s="38">
        <v>10.707929999999999</v>
      </c>
      <c r="K12" s="35">
        <v>80</v>
      </c>
      <c r="L12" s="8"/>
      <c r="M12" s="13"/>
      <c r="N12" s="3"/>
      <c r="O12" s="13"/>
      <c r="P12" s="3"/>
      <c r="Q12" s="3"/>
      <c r="R12" s="3"/>
      <c r="S12" s="12" t="s">
        <v>64</v>
      </c>
      <c r="T12" s="51" t="s">
        <v>743</v>
      </c>
      <c r="U12" s="50">
        <v>1</v>
      </c>
      <c r="V12" s="60" t="s">
        <v>664</v>
      </c>
      <c r="W12" s="60" t="s">
        <v>665</v>
      </c>
    </row>
    <row r="13" spans="1:23" ht="18" x14ac:dyDescent="0.35">
      <c r="A13" s="19" t="s">
        <v>24</v>
      </c>
      <c r="B13" s="21">
        <v>8</v>
      </c>
      <c r="C13" s="8" t="s">
        <v>223</v>
      </c>
      <c r="D13" s="35" t="s">
        <v>224</v>
      </c>
      <c r="E13" s="31" t="s">
        <v>231</v>
      </c>
      <c r="F13" s="31" t="s">
        <v>233</v>
      </c>
      <c r="G13" s="38">
        <v>105.15522</v>
      </c>
      <c r="H13" s="38">
        <v>10.70809</v>
      </c>
      <c r="I13" s="38">
        <v>105.15522</v>
      </c>
      <c r="J13" s="38">
        <v>10.70861</v>
      </c>
      <c r="K13" s="35">
        <v>100</v>
      </c>
      <c r="L13" s="8"/>
      <c r="M13" s="13"/>
      <c r="N13" s="3"/>
      <c r="O13" s="13"/>
      <c r="P13" s="3"/>
      <c r="Q13" s="3">
        <v>1</v>
      </c>
      <c r="R13" s="3"/>
      <c r="S13" s="12" t="s">
        <v>64</v>
      </c>
      <c r="T13" s="51" t="s">
        <v>743</v>
      </c>
      <c r="U13" s="50">
        <v>1</v>
      </c>
      <c r="V13" s="60" t="s">
        <v>664</v>
      </c>
      <c r="W13" s="60" t="s">
        <v>665</v>
      </c>
    </row>
    <row r="14" spans="1:23" ht="18" x14ac:dyDescent="0.35">
      <c r="A14" s="19" t="s">
        <v>24</v>
      </c>
      <c r="B14" s="21">
        <v>9</v>
      </c>
      <c r="C14" s="8" t="s">
        <v>223</v>
      </c>
      <c r="D14" s="35" t="s">
        <v>224</v>
      </c>
      <c r="E14" s="31" t="s">
        <v>233</v>
      </c>
      <c r="F14" s="31" t="s">
        <v>234</v>
      </c>
      <c r="G14" s="38">
        <v>105.15522</v>
      </c>
      <c r="H14" s="38">
        <v>10.70861</v>
      </c>
      <c r="I14" s="38">
        <v>105.15375</v>
      </c>
      <c r="J14" s="38">
        <v>10.708740000000001</v>
      </c>
      <c r="K14" s="35">
        <v>200</v>
      </c>
      <c r="L14" s="8"/>
      <c r="M14" s="13"/>
      <c r="N14" s="3">
        <v>1</v>
      </c>
      <c r="O14" s="13"/>
      <c r="P14" s="3"/>
      <c r="Q14" s="3">
        <v>1</v>
      </c>
      <c r="R14" s="3"/>
      <c r="S14" s="12" t="s">
        <v>64</v>
      </c>
      <c r="T14" s="51" t="s">
        <v>743</v>
      </c>
      <c r="U14" s="50">
        <v>1</v>
      </c>
      <c r="V14" s="60" t="s">
        <v>664</v>
      </c>
      <c r="W14" s="60" t="s">
        <v>665</v>
      </c>
    </row>
    <row r="15" spans="1:23" ht="18" x14ac:dyDescent="0.35">
      <c r="A15" s="19" t="s">
        <v>24</v>
      </c>
      <c r="B15" s="21">
        <v>10</v>
      </c>
      <c r="C15" s="8" t="s">
        <v>223</v>
      </c>
      <c r="D15" s="35" t="s">
        <v>224</v>
      </c>
      <c r="E15" s="31" t="s">
        <v>233</v>
      </c>
      <c r="F15" s="31" t="s">
        <v>235</v>
      </c>
      <c r="G15" s="38">
        <v>105.15522</v>
      </c>
      <c r="H15" s="38">
        <v>10.70861</v>
      </c>
      <c r="I15" s="38">
        <v>105.15588</v>
      </c>
      <c r="J15" s="38">
        <v>10.70834</v>
      </c>
      <c r="K15" s="35">
        <v>100</v>
      </c>
      <c r="L15" s="8"/>
      <c r="M15" s="13"/>
      <c r="N15" s="3"/>
      <c r="O15" s="13"/>
      <c r="P15" s="3"/>
      <c r="Q15" s="3">
        <v>1</v>
      </c>
      <c r="R15" s="3"/>
      <c r="S15" s="12" t="s">
        <v>64</v>
      </c>
      <c r="T15" s="51" t="s">
        <v>743</v>
      </c>
      <c r="U15" s="50">
        <v>1</v>
      </c>
      <c r="V15" s="60" t="s">
        <v>664</v>
      </c>
      <c r="W15" s="60" t="s">
        <v>665</v>
      </c>
    </row>
    <row r="16" spans="1:23" ht="18" x14ac:dyDescent="0.35">
      <c r="A16" s="19" t="s">
        <v>24</v>
      </c>
      <c r="B16" s="21">
        <v>11</v>
      </c>
      <c r="C16" s="8" t="s">
        <v>223</v>
      </c>
      <c r="D16" s="35" t="s">
        <v>224</v>
      </c>
      <c r="E16" s="31" t="s">
        <v>235</v>
      </c>
      <c r="F16" s="31" t="s">
        <v>236</v>
      </c>
      <c r="G16" s="38">
        <v>105.15588</v>
      </c>
      <c r="H16" s="38">
        <v>10.70384</v>
      </c>
      <c r="I16" s="38">
        <v>105.15631</v>
      </c>
      <c r="J16" s="38">
        <v>10.70819</v>
      </c>
      <c r="K16" s="35">
        <v>100</v>
      </c>
      <c r="L16" s="8"/>
      <c r="M16" s="13"/>
      <c r="N16" s="3"/>
      <c r="O16" s="13"/>
      <c r="P16" s="3"/>
      <c r="Q16" s="3"/>
      <c r="R16" s="3"/>
      <c r="S16" s="12" t="s">
        <v>64</v>
      </c>
      <c r="T16" s="51" t="s">
        <v>743</v>
      </c>
      <c r="U16" s="50">
        <v>1</v>
      </c>
      <c r="V16" s="60" t="s">
        <v>664</v>
      </c>
      <c r="W16" s="60" t="s">
        <v>665</v>
      </c>
    </row>
    <row r="17" spans="1:23" ht="18" x14ac:dyDescent="0.35">
      <c r="A17" s="19" t="s">
        <v>24</v>
      </c>
      <c r="B17" s="21">
        <v>12</v>
      </c>
      <c r="C17" s="8" t="s">
        <v>223</v>
      </c>
      <c r="D17" s="35" t="s">
        <v>224</v>
      </c>
      <c r="E17" s="31" t="s">
        <v>237</v>
      </c>
      <c r="F17" s="31" t="s">
        <v>238</v>
      </c>
      <c r="G17" s="38">
        <v>105.15597</v>
      </c>
      <c r="H17" s="38">
        <v>10.705920000000001</v>
      </c>
      <c r="I17" s="38">
        <v>105.15691</v>
      </c>
      <c r="J17" s="38">
        <v>10.70571</v>
      </c>
      <c r="K17" s="35"/>
      <c r="L17" s="8"/>
      <c r="M17" s="13"/>
      <c r="N17" s="3"/>
      <c r="O17" s="13"/>
      <c r="P17" s="3"/>
      <c r="Q17" s="3">
        <v>1</v>
      </c>
      <c r="R17" s="3"/>
      <c r="S17" s="12" t="s">
        <v>64</v>
      </c>
      <c r="T17" s="51" t="s">
        <v>744</v>
      </c>
      <c r="U17" s="50">
        <v>1</v>
      </c>
      <c r="V17" s="60" t="s">
        <v>664</v>
      </c>
      <c r="W17" s="60" t="s">
        <v>665</v>
      </c>
    </row>
    <row r="18" spans="1:23" ht="18" x14ac:dyDescent="0.35">
      <c r="A18" s="19" t="s">
        <v>24</v>
      </c>
      <c r="B18" s="21">
        <v>13</v>
      </c>
      <c r="C18" s="8" t="s">
        <v>223</v>
      </c>
      <c r="D18" s="35" t="s">
        <v>224</v>
      </c>
      <c r="E18" s="31" t="s">
        <v>239</v>
      </c>
      <c r="F18" s="31" t="s">
        <v>240</v>
      </c>
      <c r="G18" s="38">
        <v>105.16007999999999</v>
      </c>
      <c r="H18" s="38">
        <v>10.70495</v>
      </c>
      <c r="I18" s="38">
        <v>105.15895</v>
      </c>
      <c r="J18" s="38">
        <v>10.705209999999999</v>
      </c>
      <c r="K18" s="35"/>
      <c r="L18" s="8"/>
      <c r="M18" s="13"/>
      <c r="N18" s="3"/>
      <c r="O18" s="13"/>
      <c r="P18" s="3"/>
      <c r="Q18" s="3">
        <v>1</v>
      </c>
      <c r="R18" s="3"/>
      <c r="S18" s="12" t="s">
        <v>64</v>
      </c>
      <c r="T18" s="51" t="s">
        <v>744</v>
      </c>
      <c r="U18" s="50">
        <v>1</v>
      </c>
      <c r="V18" s="60" t="s">
        <v>664</v>
      </c>
      <c r="W18" s="60" t="s">
        <v>665</v>
      </c>
    </row>
    <row r="19" spans="1:23" ht="18" x14ac:dyDescent="0.35">
      <c r="A19" s="19" t="s">
        <v>24</v>
      </c>
      <c r="B19" s="21">
        <v>14</v>
      </c>
      <c r="C19" s="8" t="s">
        <v>223</v>
      </c>
      <c r="D19" s="35" t="s">
        <v>224</v>
      </c>
      <c r="E19" s="31" t="s">
        <v>241</v>
      </c>
      <c r="F19" s="31" t="s">
        <v>242</v>
      </c>
      <c r="G19" s="38">
        <v>105.16392</v>
      </c>
      <c r="H19" s="38">
        <v>10.705260000000001</v>
      </c>
      <c r="I19" s="38">
        <v>105.16513</v>
      </c>
      <c r="J19" s="38">
        <v>10.70506</v>
      </c>
      <c r="K19" s="35"/>
      <c r="L19" s="8"/>
      <c r="M19" s="13"/>
      <c r="N19" s="3"/>
      <c r="O19" s="13"/>
      <c r="P19" s="3"/>
      <c r="Q19" s="3">
        <v>1</v>
      </c>
      <c r="R19" s="3"/>
      <c r="S19" s="12" t="s">
        <v>64</v>
      </c>
      <c r="T19" s="51" t="s">
        <v>744</v>
      </c>
      <c r="U19" s="50">
        <v>1</v>
      </c>
      <c r="V19" s="60" t="s">
        <v>664</v>
      </c>
      <c r="W19" s="60" t="s">
        <v>665</v>
      </c>
    </row>
    <row r="20" spans="1:23" ht="18" x14ac:dyDescent="0.35">
      <c r="A20" s="19" t="s">
        <v>25</v>
      </c>
      <c r="B20" s="21">
        <v>15</v>
      </c>
      <c r="C20" s="8" t="s">
        <v>223</v>
      </c>
      <c r="D20" s="35" t="s">
        <v>224</v>
      </c>
      <c r="E20" s="31" t="s">
        <v>243</v>
      </c>
      <c r="F20" s="31" t="s">
        <v>244</v>
      </c>
      <c r="G20" s="38">
        <v>105.16531000000001</v>
      </c>
      <c r="H20" s="38">
        <v>10.70377</v>
      </c>
      <c r="I20" s="38">
        <v>105.16395</v>
      </c>
      <c r="J20" s="38">
        <v>10.704079999999999</v>
      </c>
      <c r="K20" s="35"/>
      <c r="L20" s="8"/>
      <c r="M20" s="13"/>
      <c r="N20" s="3"/>
      <c r="O20" s="13"/>
      <c r="P20" s="3"/>
      <c r="Q20" s="3">
        <v>1</v>
      </c>
      <c r="R20" s="3"/>
      <c r="S20" s="12" t="s">
        <v>64</v>
      </c>
      <c r="T20" s="51" t="s">
        <v>744</v>
      </c>
      <c r="U20" s="50">
        <v>1</v>
      </c>
      <c r="V20" s="60" t="s">
        <v>664</v>
      </c>
      <c r="W20" s="60" t="s">
        <v>665</v>
      </c>
    </row>
    <row r="21" spans="1:23" ht="18" x14ac:dyDescent="0.35">
      <c r="A21" s="19" t="s">
        <v>25</v>
      </c>
      <c r="B21" s="21">
        <v>16</v>
      </c>
      <c r="C21" s="8" t="s">
        <v>223</v>
      </c>
      <c r="D21" s="35" t="s">
        <v>246</v>
      </c>
      <c r="E21" s="31" t="s">
        <v>247</v>
      </c>
      <c r="F21" s="31" t="s">
        <v>248</v>
      </c>
      <c r="G21" s="38" t="s">
        <v>249</v>
      </c>
      <c r="H21" s="38" t="s">
        <v>250</v>
      </c>
      <c r="I21" s="38">
        <v>105.221979</v>
      </c>
      <c r="J21" s="38">
        <v>10.721094000000001</v>
      </c>
      <c r="K21" s="35"/>
      <c r="L21" s="8"/>
      <c r="M21" s="13"/>
      <c r="N21" s="3"/>
      <c r="O21" s="13"/>
      <c r="P21" s="3"/>
      <c r="Q21" s="3">
        <v>1</v>
      </c>
      <c r="R21" s="3"/>
      <c r="S21" s="12" t="s">
        <v>64</v>
      </c>
      <c r="T21" s="19" t="s">
        <v>745</v>
      </c>
      <c r="U21" s="50">
        <v>1</v>
      </c>
      <c r="V21" s="60" t="s">
        <v>664</v>
      </c>
      <c r="W21" s="60" t="s">
        <v>665</v>
      </c>
    </row>
    <row r="22" spans="1:23" s="6" customFormat="1" ht="18" x14ac:dyDescent="0.35">
      <c r="A22" s="19" t="s">
        <v>26</v>
      </c>
      <c r="B22" s="21">
        <v>17</v>
      </c>
      <c r="C22" s="8" t="s">
        <v>223</v>
      </c>
      <c r="D22" s="35" t="s">
        <v>246</v>
      </c>
      <c r="E22" s="31" t="s">
        <v>251</v>
      </c>
      <c r="F22" s="31" t="s">
        <v>252</v>
      </c>
      <c r="G22" s="38" t="s">
        <v>253</v>
      </c>
      <c r="H22" s="38" t="s">
        <v>254</v>
      </c>
      <c r="I22" s="38">
        <v>105.217941</v>
      </c>
      <c r="J22" s="38">
        <v>10.713398</v>
      </c>
      <c r="K22" s="35">
        <v>500</v>
      </c>
      <c r="L22" s="8"/>
      <c r="M22" s="13"/>
      <c r="N22" s="3"/>
      <c r="O22" s="13"/>
      <c r="P22" s="3"/>
      <c r="Q22" s="3">
        <v>1</v>
      </c>
      <c r="R22" s="3"/>
      <c r="S22" s="12" t="s">
        <v>64</v>
      </c>
      <c r="T22" s="19" t="s">
        <v>745</v>
      </c>
      <c r="U22" s="50">
        <v>1</v>
      </c>
      <c r="V22" s="60" t="s">
        <v>664</v>
      </c>
      <c r="W22" s="60" t="s">
        <v>665</v>
      </c>
    </row>
    <row r="23" spans="1:23" s="6" customFormat="1" ht="18" x14ac:dyDescent="0.35">
      <c r="A23" s="19" t="s">
        <v>26</v>
      </c>
      <c r="B23" s="21">
        <v>18</v>
      </c>
      <c r="C23" s="8" t="s">
        <v>223</v>
      </c>
      <c r="D23" s="35" t="s">
        <v>246</v>
      </c>
      <c r="E23" s="31" t="s">
        <v>255</v>
      </c>
      <c r="F23" s="31" t="s">
        <v>256</v>
      </c>
      <c r="G23" s="38" t="s">
        <v>257</v>
      </c>
      <c r="H23" s="38" t="s">
        <v>258</v>
      </c>
      <c r="I23" s="38">
        <v>105.23799</v>
      </c>
      <c r="J23" s="38">
        <v>10.714019</v>
      </c>
      <c r="K23" s="35">
        <v>150</v>
      </c>
      <c r="L23" s="8"/>
      <c r="M23" s="13"/>
      <c r="N23" s="3"/>
      <c r="O23" s="13"/>
      <c r="P23" s="3"/>
      <c r="Q23" s="3"/>
      <c r="R23" s="3"/>
      <c r="S23" s="12" t="s">
        <v>64</v>
      </c>
      <c r="T23" s="19" t="s">
        <v>746</v>
      </c>
      <c r="U23" s="50">
        <v>1</v>
      </c>
      <c r="V23" s="60" t="s">
        <v>664</v>
      </c>
      <c r="W23" s="60" t="s">
        <v>665</v>
      </c>
    </row>
    <row r="24" spans="1:23" s="6" customFormat="1" ht="18" x14ac:dyDescent="0.35">
      <c r="A24" s="19" t="s">
        <v>26</v>
      </c>
      <c r="B24" s="21">
        <v>19</v>
      </c>
      <c r="C24" s="8" t="s">
        <v>223</v>
      </c>
      <c r="D24" s="35" t="s">
        <v>246</v>
      </c>
      <c r="E24" s="31" t="s">
        <v>256</v>
      </c>
      <c r="F24" s="31" t="s">
        <v>259</v>
      </c>
      <c r="G24" s="38">
        <v>105.23799</v>
      </c>
      <c r="H24" s="38">
        <v>10.714019</v>
      </c>
      <c r="I24" s="38">
        <v>105.237467</v>
      </c>
      <c r="J24" s="38">
        <v>10.714981</v>
      </c>
      <c r="K24" s="35">
        <v>150</v>
      </c>
      <c r="L24" s="8"/>
      <c r="M24" s="13"/>
      <c r="N24" s="3"/>
      <c r="O24" s="13"/>
      <c r="P24" s="3"/>
      <c r="Q24" s="3">
        <v>1</v>
      </c>
      <c r="R24" s="3"/>
      <c r="S24" s="12" t="s">
        <v>64</v>
      </c>
      <c r="T24" s="19" t="s">
        <v>746</v>
      </c>
      <c r="U24" s="50">
        <v>1</v>
      </c>
      <c r="V24" s="60" t="s">
        <v>664</v>
      </c>
      <c r="W24" s="60" t="s">
        <v>665</v>
      </c>
    </row>
    <row r="25" spans="1:23" s="6" customFormat="1" ht="18" x14ac:dyDescent="0.35">
      <c r="A25" s="19" t="s">
        <v>27</v>
      </c>
      <c r="B25" s="21">
        <v>20</v>
      </c>
      <c r="C25" s="8" t="s">
        <v>223</v>
      </c>
      <c r="D25" s="35" t="s">
        <v>246</v>
      </c>
      <c r="E25" s="31" t="s">
        <v>260</v>
      </c>
      <c r="F25" s="31" t="s">
        <v>261</v>
      </c>
      <c r="G25" s="38" t="s">
        <v>262</v>
      </c>
      <c r="H25" s="38" t="s">
        <v>263</v>
      </c>
      <c r="I25" s="38">
        <v>105.239144</v>
      </c>
      <c r="J25" s="38">
        <v>10.711252999999999</v>
      </c>
      <c r="K25" s="35">
        <v>270</v>
      </c>
      <c r="L25" s="8"/>
      <c r="M25" s="13"/>
      <c r="N25" s="3"/>
      <c r="O25" s="13"/>
      <c r="P25" s="3"/>
      <c r="Q25" s="3">
        <v>1</v>
      </c>
      <c r="R25" s="3"/>
      <c r="S25" s="12" t="s">
        <v>64</v>
      </c>
      <c r="T25" s="19" t="s">
        <v>747</v>
      </c>
      <c r="U25" s="50">
        <v>1</v>
      </c>
      <c r="V25" s="60" t="s">
        <v>664</v>
      </c>
      <c r="W25" s="60" t="s">
        <v>665</v>
      </c>
    </row>
    <row r="26" spans="1:23" s="6" customFormat="1" ht="18" x14ac:dyDescent="0.35">
      <c r="A26" s="19" t="s">
        <v>27</v>
      </c>
      <c r="B26" s="21">
        <v>21</v>
      </c>
      <c r="C26" s="8" t="s">
        <v>223</v>
      </c>
      <c r="D26" s="35" t="s">
        <v>264</v>
      </c>
      <c r="E26" s="31" t="s">
        <v>265</v>
      </c>
      <c r="F26" s="31" t="s">
        <v>266</v>
      </c>
      <c r="G26" s="38" t="s">
        <v>267</v>
      </c>
      <c r="H26" s="38" t="s">
        <v>268</v>
      </c>
      <c r="I26" s="38">
        <v>105.24122300000001</v>
      </c>
      <c r="J26" s="38">
        <v>10.703894</v>
      </c>
      <c r="K26" s="35">
        <v>200</v>
      </c>
      <c r="L26" s="8"/>
      <c r="M26" s="13"/>
      <c r="N26" s="3"/>
      <c r="O26" s="13"/>
      <c r="P26" s="3"/>
      <c r="Q26" s="3">
        <v>1</v>
      </c>
      <c r="R26" s="3"/>
      <c r="S26" s="12" t="s">
        <v>64</v>
      </c>
      <c r="T26" s="19" t="s">
        <v>748</v>
      </c>
      <c r="U26" s="50">
        <v>1</v>
      </c>
      <c r="V26" s="60" t="s">
        <v>664</v>
      </c>
      <c r="W26" s="60" t="s">
        <v>665</v>
      </c>
    </row>
    <row r="27" spans="1:23" s="6" customFormat="1" ht="18" x14ac:dyDescent="0.35">
      <c r="A27" s="19" t="s">
        <v>27</v>
      </c>
      <c r="B27" s="21">
        <v>22</v>
      </c>
      <c r="C27" s="8" t="s">
        <v>223</v>
      </c>
      <c r="D27" s="35" t="s">
        <v>264</v>
      </c>
      <c r="E27" s="31" t="s">
        <v>269</v>
      </c>
      <c r="F27" s="31" t="s">
        <v>270</v>
      </c>
      <c r="G27" s="38" t="s">
        <v>271</v>
      </c>
      <c r="H27" s="38" t="s">
        <v>272</v>
      </c>
      <c r="I27" s="38">
        <v>105.24291100000001</v>
      </c>
      <c r="J27" s="38">
        <v>10.699429</v>
      </c>
      <c r="K27" s="35">
        <v>200</v>
      </c>
      <c r="L27" s="8"/>
      <c r="M27" s="13"/>
      <c r="N27" s="3"/>
      <c r="O27" s="13"/>
      <c r="P27" s="3"/>
      <c r="Q27" s="3">
        <v>1</v>
      </c>
      <c r="R27" s="3"/>
      <c r="S27" s="12" t="s">
        <v>64</v>
      </c>
      <c r="T27" s="19" t="s">
        <v>749</v>
      </c>
      <c r="U27" s="50">
        <v>1</v>
      </c>
      <c r="V27" s="60" t="s">
        <v>664</v>
      </c>
      <c r="W27" s="60" t="s">
        <v>665</v>
      </c>
    </row>
    <row r="28" spans="1:23" s="6" customFormat="1" ht="18" x14ac:dyDescent="0.35">
      <c r="A28" s="19" t="s">
        <v>27</v>
      </c>
      <c r="B28" s="21">
        <v>23</v>
      </c>
      <c r="C28" s="8" t="s">
        <v>223</v>
      </c>
      <c r="D28" s="35" t="s">
        <v>264</v>
      </c>
      <c r="E28" s="31" t="s">
        <v>273</v>
      </c>
      <c r="F28" s="31" t="s">
        <v>274</v>
      </c>
      <c r="G28" s="38" t="s">
        <v>275</v>
      </c>
      <c r="H28" s="38" t="s">
        <v>276</v>
      </c>
      <c r="I28" s="38" t="s">
        <v>277</v>
      </c>
      <c r="J28" s="38" t="s">
        <v>278</v>
      </c>
      <c r="K28" s="35">
        <v>500</v>
      </c>
      <c r="L28" s="8"/>
      <c r="M28" s="13"/>
      <c r="N28" s="3"/>
      <c r="O28" s="13"/>
      <c r="P28" s="3"/>
      <c r="Q28" s="3"/>
      <c r="R28" s="3"/>
      <c r="S28" s="12" t="s">
        <v>64</v>
      </c>
      <c r="T28" s="19" t="s">
        <v>750</v>
      </c>
      <c r="U28" s="50">
        <v>1</v>
      </c>
      <c r="V28" s="60" t="s">
        <v>664</v>
      </c>
      <c r="W28" s="60" t="s">
        <v>665</v>
      </c>
    </row>
    <row r="29" spans="1:23" ht="18" x14ac:dyDescent="0.35">
      <c r="A29" s="19" t="s">
        <v>28</v>
      </c>
      <c r="B29" s="21">
        <v>24</v>
      </c>
      <c r="C29" s="8" t="s">
        <v>223</v>
      </c>
      <c r="D29" s="35" t="s">
        <v>264</v>
      </c>
      <c r="E29" s="31" t="s">
        <v>274</v>
      </c>
      <c r="F29" s="31" t="s">
        <v>279</v>
      </c>
      <c r="G29" s="38" t="s">
        <v>277</v>
      </c>
      <c r="H29" s="38" t="s">
        <v>278</v>
      </c>
      <c r="I29" s="38" t="s">
        <v>280</v>
      </c>
      <c r="J29" s="38" t="s">
        <v>281</v>
      </c>
      <c r="K29" s="35">
        <v>500</v>
      </c>
      <c r="L29" s="8"/>
      <c r="M29" s="13"/>
      <c r="N29" s="3"/>
      <c r="O29" s="13"/>
      <c r="P29" s="3"/>
      <c r="Q29" s="3"/>
      <c r="R29" s="3"/>
      <c r="S29" s="12" t="s">
        <v>64</v>
      </c>
      <c r="T29" s="19" t="s">
        <v>750</v>
      </c>
      <c r="U29" s="50">
        <v>1</v>
      </c>
      <c r="V29" s="60" t="s">
        <v>664</v>
      </c>
      <c r="W29" s="60" t="s">
        <v>665</v>
      </c>
    </row>
    <row r="30" spans="1:23" ht="18" x14ac:dyDescent="0.35">
      <c r="A30" s="19" t="s">
        <v>28</v>
      </c>
      <c r="B30" s="21">
        <v>25</v>
      </c>
      <c r="C30" s="8" t="s">
        <v>223</v>
      </c>
      <c r="D30" s="35" t="s">
        <v>264</v>
      </c>
      <c r="E30" s="31" t="s">
        <v>279</v>
      </c>
      <c r="F30" s="31" t="s">
        <v>282</v>
      </c>
      <c r="G30" s="38" t="s">
        <v>280</v>
      </c>
      <c r="H30" s="38" t="s">
        <v>281</v>
      </c>
      <c r="I30" s="38">
        <v>105.24599499999999</v>
      </c>
      <c r="J30" s="38">
        <v>10.690795</v>
      </c>
      <c r="K30" s="35">
        <v>200</v>
      </c>
      <c r="L30" s="8"/>
      <c r="M30" s="13"/>
      <c r="N30" s="3"/>
      <c r="O30" s="13"/>
      <c r="P30" s="3"/>
      <c r="Q30" s="3">
        <v>1</v>
      </c>
      <c r="R30" s="3"/>
      <c r="S30" s="12" t="s">
        <v>64</v>
      </c>
      <c r="T30" s="19" t="s">
        <v>750</v>
      </c>
      <c r="U30" s="50">
        <v>1</v>
      </c>
      <c r="V30" s="60" t="s">
        <v>664</v>
      </c>
      <c r="W30" s="60" t="s">
        <v>665</v>
      </c>
    </row>
    <row r="31" spans="1:23" ht="18" x14ac:dyDescent="0.35">
      <c r="A31" s="19" t="s">
        <v>28</v>
      </c>
      <c r="B31" s="21">
        <v>26</v>
      </c>
      <c r="C31" s="8" t="s">
        <v>223</v>
      </c>
      <c r="D31" s="35" t="s">
        <v>264</v>
      </c>
      <c r="E31" s="31" t="s">
        <v>282</v>
      </c>
      <c r="F31" s="31" t="s">
        <v>283</v>
      </c>
      <c r="G31" s="38">
        <v>105.24599499999999</v>
      </c>
      <c r="H31" s="38">
        <v>10.690795</v>
      </c>
      <c r="I31" s="38" t="s">
        <v>284</v>
      </c>
      <c r="J31" s="38" t="s">
        <v>285</v>
      </c>
      <c r="K31" s="35">
        <v>220</v>
      </c>
      <c r="L31" s="8"/>
      <c r="M31" s="13"/>
      <c r="N31" s="3"/>
      <c r="O31" s="13"/>
      <c r="P31" s="3"/>
      <c r="Q31" s="3"/>
      <c r="R31" s="3"/>
      <c r="S31" s="12" t="s">
        <v>64</v>
      </c>
      <c r="T31" s="19" t="s">
        <v>750</v>
      </c>
      <c r="U31" s="50">
        <v>1</v>
      </c>
      <c r="V31" s="60" t="s">
        <v>664</v>
      </c>
      <c r="W31" s="60" t="s">
        <v>665</v>
      </c>
    </row>
    <row r="32" spans="1:23" ht="18" x14ac:dyDescent="0.35">
      <c r="A32" s="19" t="s">
        <v>28</v>
      </c>
      <c r="B32" s="21">
        <v>27</v>
      </c>
      <c r="C32" s="8" t="s">
        <v>223</v>
      </c>
      <c r="D32" s="35" t="s">
        <v>264</v>
      </c>
      <c r="E32" s="31" t="s">
        <v>286</v>
      </c>
      <c r="F32" s="31" t="s">
        <v>287</v>
      </c>
      <c r="G32" s="38" t="s">
        <v>288</v>
      </c>
      <c r="H32" s="38" t="s">
        <v>289</v>
      </c>
      <c r="I32" s="38">
        <v>105.24727</v>
      </c>
      <c r="J32" s="38">
        <v>10.687144</v>
      </c>
      <c r="K32" s="35"/>
      <c r="L32" s="8"/>
      <c r="M32" s="13"/>
      <c r="N32" s="3"/>
      <c r="O32" s="13"/>
      <c r="P32" s="3"/>
      <c r="Q32" s="3">
        <v>1</v>
      </c>
      <c r="R32" s="3"/>
      <c r="S32" s="12" t="s">
        <v>64</v>
      </c>
      <c r="T32" s="19" t="s">
        <v>751</v>
      </c>
      <c r="U32" s="50">
        <v>1</v>
      </c>
      <c r="V32" s="60" t="s">
        <v>664</v>
      </c>
      <c r="W32" s="60" t="s">
        <v>665</v>
      </c>
    </row>
    <row r="33" spans="1:23" ht="18" x14ac:dyDescent="0.35">
      <c r="A33" s="19" t="s">
        <v>28</v>
      </c>
      <c r="B33" s="21">
        <v>28</v>
      </c>
      <c r="C33" s="8" t="s">
        <v>223</v>
      </c>
      <c r="D33" s="35" t="s">
        <v>264</v>
      </c>
      <c r="E33" s="31" t="s">
        <v>290</v>
      </c>
      <c r="F33" s="31" t="s">
        <v>291</v>
      </c>
      <c r="G33" s="38" t="s">
        <v>292</v>
      </c>
      <c r="H33" s="38" t="s">
        <v>293</v>
      </c>
      <c r="I33" s="38">
        <v>105.245959</v>
      </c>
      <c r="J33" s="38">
        <v>10.679311</v>
      </c>
      <c r="K33" s="35">
        <v>160</v>
      </c>
      <c r="L33" s="8"/>
      <c r="M33" s="13"/>
      <c r="N33" s="3">
        <v>1</v>
      </c>
      <c r="O33" s="13"/>
      <c r="P33" s="3"/>
      <c r="Q33" s="3">
        <v>1</v>
      </c>
      <c r="R33" s="3"/>
      <c r="S33" s="12" t="s">
        <v>64</v>
      </c>
      <c r="T33" s="19" t="s">
        <v>752</v>
      </c>
      <c r="U33" s="50">
        <v>1</v>
      </c>
      <c r="V33" s="60" t="s">
        <v>664</v>
      </c>
      <c r="W33" s="60" t="s">
        <v>665</v>
      </c>
    </row>
    <row r="34" spans="1:23" ht="18" x14ac:dyDescent="0.35">
      <c r="A34" s="19" t="s">
        <v>28</v>
      </c>
      <c r="B34" s="21">
        <v>29</v>
      </c>
      <c r="C34" s="8" t="s">
        <v>223</v>
      </c>
      <c r="D34" s="35" t="s">
        <v>264</v>
      </c>
      <c r="E34" s="31" t="s">
        <v>291</v>
      </c>
      <c r="F34" s="31" t="s">
        <v>294</v>
      </c>
      <c r="G34" s="38">
        <v>105.245959</v>
      </c>
      <c r="H34" s="38">
        <v>10.679311</v>
      </c>
      <c r="I34" s="38" t="s">
        <v>295</v>
      </c>
      <c r="J34" s="38" t="s">
        <v>296</v>
      </c>
      <c r="K34" s="35">
        <v>200</v>
      </c>
      <c r="L34" s="8"/>
      <c r="M34" s="13"/>
      <c r="N34" s="3"/>
      <c r="O34" s="13"/>
      <c r="P34" s="3"/>
      <c r="Q34" s="3"/>
      <c r="R34" s="3"/>
      <c r="S34" s="12" t="s">
        <v>64</v>
      </c>
      <c r="T34" s="19" t="s">
        <v>753</v>
      </c>
      <c r="U34" s="50">
        <v>1</v>
      </c>
      <c r="V34" s="60" t="s">
        <v>664</v>
      </c>
      <c r="W34" s="60" t="s">
        <v>665</v>
      </c>
    </row>
    <row r="35" spans="1:23" ht="18" x14ac:dyDescent="0.35">
      <c r="A35" s="19" t="s">
        <v>29</v>
      </c>
      <c r="B35" s="21">
        <v>30</v>
      </c>
      <c r="C35" s="8" t="s">
        <v>223</v>
      </c>
      <c r="D35" s="35" t="s">
        <v>264</v>
      </c>
      <c r="E35" s="31" t="s">
        <v>297</v>
      </c>
      <c r="F35" s="31" t="s">
        <v>298</v>
      </c>
      <c r="G35" s="38" t="s">
        <v>299</v>
      </c>
      <c r="H35" s="38" t="s">
        <v>300</v>
      </c>
      <c r="I35" s="38">
        <v>105.25541200000001</v>
      </c>
      <c r="J35" s="38">
        <v>10.671742</v>
      </c>
      <c r="K35" s="35"/>
      <c r="L35" s="8"/>
      <c r="M35" s="13"/>
      <c r="N35" s="3">
        <v>1</v>
      </c>
      <c r="O35" s="13"/>
      <c r="P35" s="3"/>
      <c r="Q35" s="3">
        <v>1</v>
      </c>
      <c r="R35" s="3"/>
      <c r="S35" s="12" t="s">
        <v>64</v>
      </c>
      <c r="T35" s="19" t="s">
        <v>754</v>
      </c>
      <c r="U35" s="50">
        <v>1</v>
      </c>
      <c r="V35" s="60" t="s">
        <v>664</v>
      </c>
      <c r="W35" s="60" t="s">
        <v>665</v>
      </c>
    </row>
    <row r="36" spans="1:23" ht="18" x14ac:dyDescent="0.35">
      <c r="A36" s="19" t="s">
        <v>29</v>
      </c>
      <c r="B36" s="21">
        <v>31</v>
      </c>
      <c r="C36" s="8" t="s">
        <v>223</v>
      </c>
      <c r="D36" s="35" t="s">
        <v>264</v>
      </c>
      <c r="E36" s="31" t="s">
        <v>301</v>
      </c>
      <c r="F36" s="31" t="s">
        <v>302</v>
      </c>
      <c r="G36" s="38" t="s">
        <v>303</v>
      </c>
      <c r="H36" s="38" t="s">
        <v>304</v>
      </c>
      <c r="I36" s="38">
        <v>105.254099</v>
      </c>
      <c r="J36" s="38">
        <v>10.673482999999999</v>
      </c>
      <c r="K36" s="35"/>
      <c r="L36" s="8"/>
      <c r="M36" s="13"/>
      <c r="N36" s="3"/>
      <c r="O36" s="13"/>
      <c r="P36" s="3"/>
      <c r="Q36" s="3">
        <v>1</v>
      </c>
      <c r="R36" s="3"/>
      <c r="S36" s="12" t="s">
        <v>64</v>
      </c>
      <c r="T36" s="19" t="s">
        <v>755</v>
      </c>
      <c r="U36" s="50">
        <v>1</v>
      </c>
      <c r="V36" s="60" t="s">
        <v>664</v>
      </c>
      <c r="W36" s="60" t="s">
        <v>665</v>
      </c>
    </row>
    <row r="37" spans="1:23" ht="18" x14ac:dyDescent="0.35">
      <c r="A37" s="19" t="s">
        <v>30</v>
      </c>
      <c r="B37" s="21">
        <v>32</v>
      </c>
      <c r="C37" s="8" t="s">
        <v>223</v>
      </c>
      <c r="D37" s="35" t="s">
        <v>305</v>
      </c>
      <c r="E37" s="31" t="s">
        <v>306</v>
      </c>
      <c r="F37" s="31" t="s">
        <v>307</v>
      </c>
      <c r="G37" s="38" t="s">
        <v>308</v>
      </c>
      <c r="H37" s="38" t="s">
        <v>309</v>
      </c>
      <c r="I37" s="38">
        <v>105.270977</v>
      </c>
      <c r="J37" s="38">
        <v>10.64977</v>
      </c>
      <c r="K37" s="35">
        <v>220</v>
      </c>
      <c r="L37" s="8"/>
      <c r="M37" s="13"/>
      <c r="N37" s="3">
        <v>1</v>
      </c>
      <c r="O37" s="13"/>
      <c r="P37" s="3"/>
      <c r="Q37" s="3">
        <v>1</v>
      </c>
      <c r="R37" s="3"/>
      <c r="S37" s="12" t="s">
        <v>64</v>
      </c>
      <c r="T37" s="19" t="s">
        <v>756</v>
      </c>
      <c r="U37" s="50">
        <v>1</v>
      </c>
      <c r="V37" s="60" t="s">
        <v>664</v>
      </c>
      <c r="W37" s="60" t="s">
        <v>665</v>
      </c>
    </row>
    <row r="38" spans="1:23" ht="18" x14ac:dyDescent="0.35">
      <c r="A38" s="19" t="s">
        <v>30</v>
      </c>
      <c r="B38" s="21">
        <v>33</v>
      </c>
      <c r="C38" s="8" t="s">
        <v>223</v>
      </c>
      <c r="D38" s="35" t="s">
        <v>305</v>
      </c>
      <c r="E38" s="31" t="s">
        <v>310</v>
      </c>
      <c r="F38" s="31" t="s">
        <v>311</v>
      </c>
      <c r="G38" s="38" t="s">
        <v>312</v>
      </c>
      <c r="H38" s="38" t="s">
        <v>313</v>
      </c>
      <c r="I38" s="38">
        <v>105.271755</v>
      </c>
      <c r="J38" s="38">
        <v>10.649457999999999</v>
      </c>
      <c r="K38" s="35">
        <v>180</v>
      </c>
      <c r="L38" s="8"/>
      <c r="M38" s="13"/>
      <c r="N38" s="3"/>
      <c r="O38" s="13"/>
      <c r="P38" s="3"/>
      <c r="Q38" s="3">
        <v>1</v>
      </c>
      <c r="R38" s="3"/>
      <c r="S38" s="12" t="s">
        <v>64</v>
      </c>
      <c r="T38" s="19" t="s">
        <v>757</v>
      </c>
      <c r="U38" s="50">
        <v>1</v>
      </c>
      <c r="V38" s="60" t="s">
        <v>664</v>
      </c>
      <c r="W38" s="60" t="s">
        <v>665</v>
      </c>
    </row>
    <row r="39" spans="1:23" ht="18" x14ac:dyDescent="0.35">
      <c r="A39" s="19" t="s">
        <v>30</v>
      </c>
      <c r="B39" s="21">
        <v>34</v>
      </c>
      <c r="C39" s="8" t="s">
        <v>223</v>
      </c>
      <c r="D39" s="35" t="s">
        <v>305</v>
      </c>
      <c r="E39" s="31" t="s">
        <v>314</v>
      </c>
      <c r="F39" s="31" t="s">
        <v>315</v>
      </c>
      <c r="G39" s="38" t="s">
        <v>316</v>
      </c>
      <c r="H39" s="38" t="s">
        <v>317</v>
      </c>
      <c r="I39" s="38">
        <v>105.273293</v>
      </c>
      <c r="J39" s="38">
        <v>10.648688999999999</v>
      </c>
      <c r="K39" s="35">
        <v>500</v>
      </c>
      <c r="L39" s="8"/>
      <c r="M39" s="13"/>
      <c r="N39" s="3"/>
      <c r="O39" s="13"/>
      <c r="P39" s="3"/>
      <c r="Q39" s="3">
        <v>1</v>
      </c>
      <c r="R39" s="3"/>
      <c r="S39" s="12" t="s">
        <v>64</v>
      </c>
      <c r="T39" s="19" t="s">
        <v>758</v>
      </c>
      <c r="U39" s="50">
        <v>1</v>
      </c>
      <c r="V39" s="60" t="s">
        <v>664</v>
      </c>
      <c r="W39" s="60" t="s">
        <v>665</v>
      </c>
    </row>
    <row r="40" spans="1:23" ht="18" x14ac:dyDescent="0.35">
      <c r="A40" s="19" t="s">
        <v>30</v>
      </c>
      <c r="B40" s="21">
        <v>35</v>
      </c>
      <c r="C40" s="8" t="s">
        <v>223</v>
      </c>
      <c r="D40" s="35" t="s">
        <v>264</v>
      </c>
      <c r="E40" s="31" t="s">
        <v>318</v>
      </c>
      <c r="F40" s="31" t="s">
        <v>319</v>
      </c>
      <c r="G40" s="38">
        <v>105.25133</v>
      </c>
      <c r="H40" s="38">
        <v>10.682589999999999</v>
      </c>
      <c r="I40" s="38">
        <v>105.250899</v>
      </c>
      <c r="J40" s="38">
        <v>10.683310000000001</v>
      </c>
      <c r="K40" s="35"/>
      <c r="L40" s="8"/>
      <c r="M40" s="13"/>
      <c r="N40" s="3"/>
      <c r="O40" s="13"/>
      <c r="P40" s="3"/>
      <c r="Q40" s="3">
        <v>1</v>
      </c>
      <c r="R40" s="3"/>
      <c r="S40" s="12" t="s">
        <v>64</v>
      </c>
      <c r="T40" s="19" t="s">
        <v>759</v>
      </c>
      <c r="U40" s="50">
        <v>1</v>
      </c>
      <c r="V40" s="60" t="s">
        <v>664</v>
      </c>
      <c r="W40" s="60" t="s">
        <v>665</v>
      </c>
    </row>
    <row r="41" spans="1:23" ht="18" x14ac:dyDescent="0.35">
      <c r="A41" s="19" t="s">
        <v>30</v>
      </c>
      <c r="B41" s="21">
        <v>36</v>
      </c>
      <c r="C41" s="8" t="s">
        <v>223</v>
      </c>
      <c r="D41" s="35" t="s">
        <v>264</v>
      </c>
      <c r="E41" s="31" t="s">
        <v>320</v>
      </c>
      <c r="F41" s="31" t="s">
        <v>321</v>
      </c>
      <c r="G41" s="38" t="s">
        <v>322</v>
      </c>
      <c r="H41" s="38" t="s">
        <v>323</v>
      </c>
      <c r="I41" s="38">
        <v>105.25778800000001</v>
      </c>
      <c r="J41" s="38">
        <v>10.685767999999999</v>
      </c>
      <c r="K41" s="35">
        <v>330</v>
      </c>
      <c r="L41" s="8"/>
      <c r="M41" s="13"/>
      <c r="N41" s="3">
        <v>1</v>
      </c>
      <c r="O41" s="13"/>
      <c r="P41" s="3"/>
      <c r="Q41" s="3">
        <v>1</v>
      </c>
      <c r="R41" s="3"/>
      <c r="S41" s="12" t="s">
        <v>64</v>
      </c>
      <c r="T41" s="47" t="s">
        <v>760</v>
      </c>
      <c r="U41" s="50">
        <v>1</v>
      </c>
      <c r="V41" s="60" t="s">
        <v>664</v>
      </c>
      <c r="W41" s="60" t="s">
        <v>665</v>
      </c>
    </row>
    <row r="42" spans="1:23" ht="18" x14ac:dyDescent="0.35">
      <c r="A42" s="19" t="s">
        <v>31</v>
      </c>
      <c r="B42" s="21">
        <v>37</v>
      </c>
      <c r="C42" s="8" t="s">
        <v>223</v>
      </c>
      <c r="D42" s="35" t="s">
        <v>305</v>
      </c>
      <c r="E42" s="31" t="s">
        <v>324</v>
      </c>
      <c r="F42" s="31" t="s">
        <v>325</v>
      </c>
      <c r="G42" s="38" t="s">
        <v>326</v>
      </c>
      <c r="H42" s="38" t="s">
        <v>327</v>
      </c>
      <c r="I42" s="38">
        <v>105.26938199999999</v>
      </c>
      <c r="J42" s="38">
        <v>10.654234000000001</v>
      </c>
      <c r="K42" s="35">
        <v>200</v>
      </c>
      <c r="L42" s="8"/>
      <c r="M42" s="13"/>
      <c r="N42" s="3"/>
      <c r="O42" s="13"/>
      <c r="P42" s="3"/>
      <c r="Q42" s="3">
        <v>1</v>
      </c>
      <c r="R42" s="3"/>
      <c r="S42" s="12" t="s">
        <v>64</v>
      </c>
      <c r="T42" s="47" t="s">
        <v>761</v>
      </c>
      <c r="U42" s="50">
        <v>1</v>
      </c>
      <c r="V42" s="60" t="s">
        <v>664</v>
      </c>
      <c r="W42" s="60" t="s">
        <v>665</v>
      </c>
    </row>
    <row r="43" spans="1:23" ht="31.2" x14ac:dyDescent="0.35">
      <c r="A43" s="19" t="s">
        <v>32</v>
      </c>
      <c r="B43" s="21">
        <v>38</v>
      </c>
      <c r="C43" s="8" t="s">
        <v>223</v>
      </c>
      <c r="D43" s="35" t="s">
        <v>305</v>
      </c>
      <c r="E43" s="31" t="s">
        <v>328</v>
      </c>
      <c r="F43" s="31" t="s">
        <v>329</v>
      </c>
      <c r="G43" s="38">
        <v>105.26203</v>
      </c>
      <c r="H43" s="38">
        <v>10.664429999999999</v>
      </c>
      <c r="I43" s="38">
        <v>105.26285799999999</v>
      </c>
      <c r="J43" s="38">
        <v>10.663342</v>
      </c>
      <c r="K43" s="35"/>
      <c r="L43" s="8"/>
      <c r="M43" s="13"/>
      <c r="N43" s="3"/>
      <c r="O43" s="13"/>
      <c r="P43" s="3"/>
      <c r="Q43" s="3">
        <v>1</v>
      </c>
      <c r="R43" s="3"/>
      <c r="S43" s="12" t="s">
        <v>64</v>
      </c>
      <c r="T43" s="47" t="s">
        <v>762</v>
      </c>
      <c r="U43" s="50">
        <v>1</v>
      </c>
      <c r="V43" s="60" t="s">
        <v>664</v>
      </c>
      <c r="W43" s="60" t="s">
        <v>665</v>
      </c>
    </row>
    <row r="44" spans="1:23" ht="18" x14ac:dyDescent="0.35">
      <c r="A44" s="19" t="s">
        <v>32</v>
      </c>
      <c r="B44" s="21">
        <v>39</v>
      </c>
      <c r="C44" s="8" t="s">
        <v>223</v>
      </c>
      <c r="D44" s="35" t="s">
        <v>264</v>
      </c>
      <c r="E44" s="31" t="s">
        <v>330</v>
      </c>
      <c r="F44" s="31" t="s">
        <v>331</v>
      </c>
      <c r="G44" s="38" t="s">
        <v>332</v>
      </c>
      <c r="H44" s="38" t="s">
        <v>333</v>
      </c>
      <c r="I44" s="38">
        <v>105.259261</v>
      </c>
      <c r="J44" s="38">
        <v>10.668417</v>
      </c>
      <c r="K44" s="35"/>
      <c r="L44" s="8"/>
      <c r="M44" s="13"/>
      <c r="N44" s="3">
        <v>1</v>
      </c>
      <c r="O44" s="13"/>
      <c r="P44" s="3"/>
      <c r="Q44" s="3">
        <v>1</v>
      </c>
      <c r="R44" s="3"/>
      <c r="S44" s="12" t="s">
        <v>64</v>
      </c>
      <c r="T44" s="47" t="s">
        <v>763</v>
      </c>
      <c r="U44" s="50">
        <v>1</v>
      </c>
      <c r="V44" s="60" t="s">
        <v>664</v>
      </c>
      <c r="W44" s="60" t="s">
        <v>665</v>
      </c>
    </row>
    <row r="45" spans="1:23" ht="18" x14ac:dyDescent="0.35">
      <c r="A45" s="19" t="s">
        <v>33</v>
      </c>
      <c r="B45" s="21">
        <v>40</v>
      </c>
      <c r="C45" s="8" t="s">
        <v>223</v>
      </c>
      <c r="D45" s="35" t="s">
        <v>334</v>
      </c>
      <c r="E45" s="31" t="s">
        <v>335</v>
      </c>
      <c r="F45" s="31" t="s">
        <v>336</v>
      </c>
      <c r="G45" s="38">
        <v>105.30952000000001</v>
      </c>
      <c r="H45" s="38">
        <v>10.59281</v>
      </c>
      <c r="I45" s="38">
        <v>105.31019000000001</v>
      </c>
      <c r="J45" s="38">
        <v>10.59334</v>
      </c>
      <c r="K45" s="35"/>
      <c r="L45" s="8"/>
      <c r="M45" s="13"/>
      <c r="N45" s="3">
        <v>1</v>
      </c>
      <c r="O45" s="13"/>
      <c r="P45" s="3"/>
      <c r="Q45" s="3">
        <v>1</v>
      </c>
      <c r="R45" s="3"/>
      <c r="S45" s="12" t="s">
        <v>64</v>
      </c>
      <c r="T45" s="47" t="s">
        <v>764</v>
      </c>
      <c r="U45" s="50">
        <v>1</v>
      </c>
      <c r="V45" s="60" t="s">
        <v>664</v>
      </c>
      <c r="W45" s="60" t="s">
        <v>665</v>
      </c>
    </row>
    <row r="46" spans="1:23" ht="18" x14ac:dyDescent="0.35">
      <c r="A46" s="19" t="s">
        <v>33</v>
      </c>
      <c r="B46" s="21">
        <v>41</v>
      </c>
      <c r="C46" s="8" t="s">
        <v>223</v>
      </c>
      <c r="D46" s="35" t="s">
        <v>334</v>
      </c>
      <c r="E46" s="31" t="s">
        <v>336</v>
      </c>
      <c r="F46" s="31" t="s">
        <v>337</v>
      </c>
      <c r="G46" s="38">
        <v>105.31019000000001</v>
      </c>
      <c r="H46" s="38">
        <v>10.59334</v>
      </c>
      <c r="I46" s="38">
        <v>105.31108</v>
      </c>
      <c r="J46" s="38">
        <v>10.59417</v>
      </c>
      <c r="K46" s="35"/>
      <c r="L46" s="8"/>
      <c r="M46" s="13"/>
      <c r="N46" s="3"/>
      <c r="O46" s="13"/>
      <c r="P46" s="3"/>
      <c r="Q46" s="3">
        <v>1</v>
      </c>
      <c r="R46" s="3"/>
      <c r="S46" s="12" t="s">
        <v>64</v>
      </c>
      <c r="T46" s="47" t="s">
        <v>764</v>
      </c>
      <c r="U46" s="50">
        <v>1</v>
      </c>
      <c r="V46" s="60" t="s">
        <v>664</v>
      </c>
      <c r="W46" s="60" t="s">
        <v>665</v>
      </c>
    </row>
    <row r="47" spans="1:23" ht="18" x14ac:dyDescent="0.35">
      <c r="A47" s="19" t="s">
        <v>34</v>
      </c>
      <c r="B47" s="21">
        <v>42</v>
      </c>
      <c r="C47" s="8" t="s">
        <v>223</v>
      </c>
      <c r="D47" s="35" t="s">
        <v>334</v>
      </c>
      <c r="E47" s="31" t="s">
        <v>337</v>
      </c>
      <c r="F47" s="31" t="s">
        <v>338</v>
      </c>
      <c r="G47" s="38">
        <v>105.31108</v>
      </c>
      <c r="H47" s="38">
        <v>10.59417</v>
      </c>
      <c r="I47" s="38">
        <v>105.31196</v>
      </c>
      <c r="J47" s="38">
        <v>10.59507</v>
      </c>
      <c r="K47" s="35"/>
      <c r="L47" s="8"/>
      <c r="M47" s="13"/>
      <c r="N47" s="3"/>
      <c r="O47" s="13"/>
      <c r="P47" s="3"/>
      <c r="Q47" s="3">
        <v>1</v>
      </c>
      <c r="R47" s="3"/>
      <c r="S47" s="12" t="s">
        <v>64</v>
      </c>
      <c r="T47" s="47" t="s">
        <v>764</v>
      </c>
      <c r="U47" s="50">
        <v>1</v>
      </c>
      <c r="V47" s="60" t="s">
        <v>664</v>
      </c>
      <c r="W47" s="60" t="s">
        <v>665</v>
      </c>
    </row>
    <row r="48" spans="1:23" ht="18" x14ac:dyDescent="0.35">
      <c r="A48" s="19" t="s">
        <v>34</v>
      </c>
      <c r="B48" s="21">
        <v>43</v>
      </c>
      <c r="C48" s="8" t="s">
        <v>223</v>
      </c>
      <c r="D48" s="35" t="s">
        <v>334</v>
      </c>
      <c r="E48" s="31" t="s">
        <v>338</v>
      </c>
      <c r="F48" s="31" t="s">
        <v>339</v>
      </c>
      <c r="G48" s="38">
        <v>105.31196</v>
      </c>
      <c r="H48" s="38">
        <v>10.59507</v>
      </c>
      <c r="I48" s="38">
        <v>105.3145</v>
      </c>
      <c r="J48" s="38">
        <v>10.59642</v>
      </c>
      <c r="K48" s="35"/>
      <c r="L48" s="8"/>
      <c r="M48" s="13"/>
      <c r="N48" s="3"/>
      <c r="O48" s="13"/>
      <c r="P48" s="3"/>
      <c r="Q48" s="3">
        <v>1</v>
      </c>
      <c r="R48" s="3"/>
      <c r="S48" s="12" t="s">
        <v>64</v>
      </c>
      <c r="T48" s="47" t="s">
        <v>764</v>
      </c>
      <c r="U48" s="50">
        <v>1</v>
      </c>
      <c r="V48" s="60" t="s">
        <v>664</v>
      </c>
      <c r="W48" s="60" t="s">
        <v>665</v>
      </c>
    </row>
    <row r="49" spans="1:23" ht="18" x14ac:dyDescent="0.35">
      <c r="A49" s="19" t="s">
        <v>34</v>
      </c>
      <c r="B49" s="21">
        <v>44</v>
      </c>
      <c r="C49" s="8" t="s">
        <v>223</v>
      </c>
      <c r="D49" s="35" t="s">
        <v>334</v>
      </c>
      <c r="E49" s="31" t="s">
        <v>339</v>
      </c>
      <c r="F49" s="31" t="s">
        <v>340</v>
      </c>
      <c r="G49" s="38">
        <v>105.3145</v>
      </c>
      <c r="H49" s="38">
        <v>10.59642</v>
      </c>
      <c r="I49" s="38">
        <v>105.31543000000001</v>
      </c>
      <c r="J49" s="38">
        <v>10.5976</v>
      </c>
      <c r="K49" s="35"/>
      <c r="L49" s="8"/>
      <c r="M49" s="13"/>
      <c r="N49" s="3">
        <v>1</v>
      </c>
      <c r="O49" s="13"/>
      <c r="P49" s="3"/>
      <c r="Q49" s="3">
        <v>1</v>
      </c>
      <c r="R49" s="3"/>
      <c r="S49" s="12" t="s">
        <v>64</v>
      </c>
      <c r="T49" s="47" t="s">
        <v>764</v>
      </c>
      <c r="U49" s="50">
        <v>1</v>
      </c>
      <c r="V49" s="60" t="s">
        <v>664</v>
      </c>
      <c r="W49" s="60" t="s">
        <v>665</v>
      </c>
    </row>
    <row r="50" spans="1:23" ht="18" x14ac:dyDescent="0.35">
      <c r="A50" s="19" t="s">
        <v>34</v>
      </c>
      <c r="B50" s="21">
        <v>45</v>
      </c>
      <c r="C50" s="8" t="s">
        <v>223</v>
      </c>
      <c r="D50" s="35" t="s">
        <v>334</v>
      </c>
      <c r="E50" s="31" t="s">
        <v>340</v>
      </c>
      <c r="F50" s="31" t="s">
        <v>341</v>
      </c>
      <c r="G50" s="38">
        <v>105.31543000000001</v>
      </c>
      <c r="H50" s="38">
        <v>10.5976</v>
      </c>
      <c r="I50" s="38">
        <v>105.31774</v>
      </c>
      <c r="J50" s="38">
        <v>10.596719999999999</v>
      </c>
      <c r="K50" s="35"/>
      <c r="L50" s="8"/>
      <c r="M50" s="13"/>
      <c r="N50" s="3"/>
      <c r="O50" s="13"/>
      <c r="P50" s="3"/>
      <c r="Q50" s="3">
        <v>1</v>
      </c>
      <c r="R50" s="3"/>
      <c r="S50" s="12" t="s">
        <v>64</v>
      </c>
      <c r="T50" s="47" t="s">
        <v>764</v>
      </c>
      <c r="U50" s="50">
        <v>1</v>
      </c>
      <c r="V50" s="60" t="s">
        <v>664</v>
      </c>
      <c r="W50" s="60" t="s">
        <v>665</v>
      </c>
    </row>
    <row r="51" spans="1:23" ht="18" x14ac:dyDescent="0.35">
      <c r="A51" s="19" t="s">
        <v>34</v>
      </c>
      <c r="B51" s="21">
        <v>46</v>
      </c>
      <c r="C51" s="8" t="s">
        <v>223</v>
      </c>
      <c r="D51" s="35" t="s">
        <v>334</v>
      </c>
      <c r="E51" s="31" t="s">
        <v>341</v>
      </c>
      <c r="F51" s="31" t="s">
        <v>342</v>
      </c>
      <c r="G51" s="38">
        <v>105.31774</v>
      </c>
      <c r="H51" s="38">
        <v>10.596719999999999</v>
      </c>
      <c r="I51" s="38">
        <v>105.31822</v>
      </c>
      <c r="J51" s="38">
        <v>10.596550000000001</v>
      </c>
      <c r="K51" s="35"/>
      <c r="L51" s="8"/>
      <c r="M51" s="13"/>
      <c r="N51" s="3"/>
      <c r="O51" s="13"/>
      <c r="P51" s="3"/>
      <c r="Q51" s="3">
        <v>1</v>
      </c>
      <c r="R51" s="3"/>
      <c r="S51" s="12" t="s">
        <v>64</v>
      </c>
      <c r="T51" s="47" t="s">
        <v>764</v>
      </c>
      <c r="U51" s="50">
        <v>1</v>
      </c>
      <c r="V51" s="60" t="s">
        <v>664</v>
      </c>
      <c r="W51" s="60" t="s">
        <v>665</v>
      </c>
    </row>
    <row r="52" spans="1:23" ht="18" x14ac:dyDescent="0.35">
      <c r="A52" s="19" t="s">
        <v>34</v>
      </c>
      <c r="B52" s="21">
        <v>47</v>
      </c>
      <c r="C52" s="8" t="s">
        <v>223</v>
      </c>
      <c r="D52" s="35" t="s">
        <v>334</v>
      </c>
      <c r="E52" s="76" t="s">
        <v>765</v>
      </c>
      <c r="F52" s="31" t="s">
        <v>343</v>
      </c>
      <c r="G52" s="38">
        <v>105.320162</v>
      </c>
      <c r="H52" s="38">
        <v>10.597025</v>
      </c>
      <c r="I52" s="38">
        <v>105.32034</v>
      </c>
      <c r="J52" s="38">
        <v>10.597910000000001</v>
      </c>
      <c r="K52" s="35"/>
      <c r="L52" s="8"/>
      <c r="M52" s="13"/>
      <c r="N52" s="3"/>
      <c r="O52" s="13"/>
      <c r="P52" s="3"/>
      <c r="Q52" s="3">
        <v>1</v>
      </c>
      <c r="R52" s="3"/>
      <c r="S52" s="12" t="s">
        <v>64</v>
      </c>
      <c r="T52" s="47" t="s">
        <v>764</v>
      </c>
      <c r="U52" s="50">
        <v>1</v>
      </c>
      <c r="V52" s="60" t="s">
        <v>664</v>
      </c>
      <c r="W52" s="60" t="s">
        <v>665</v>
      </c>
    </row>
    <row r="53" spans="1:23" ht="18" x14ac:dyDescent="0.35">
      <c r="A53" s="19" t="s">
        <v>35</v>
      </c>
      <c r="B53" s="21">
        <v>48</v>
      </c>
      <c r="C53" s="8" t="s">
        <v>223</v>
      </c>
      <c r="D53" s="35" t="s">
        <v>334</v>
      </c>
      <c r="E53" s="31" t="s">
        <v>344</v>
      </c>
      <c r="F53" s="31" t="s">
        <v>345</v>
      </c>
      <c r="G53" s="38">
        <v>105.32764</v>
      </c>
      <c r="H53" s="38">
        <v>10.598100000000001</v>
      </c>
      <c r="I53" s="38">
        <v>105.32743000000001</v>
      </c>
      <c r="J53" s="38">
        <v>10.598039999999999</v>
      </c>
      <c r="K53" s="35"/>
      <c r="L53" s="8"/>
      <c r="M53" s="13"/>
      <c r="N53" s="3">
        <v>1</v>
      </c>
      <c r="O53" s="13"/>
      <c r="P53" s="3"/>
      <c r="Q53" s="3">
        <v>1</v>
      </c>
      <c r="R53" s="3"/>
      <c r="S53" s="12" t="s">
        <v>64</v>
      </c>
      <c r="T53" s="47" t="s">
        <v>766</v>
      </c>
      <c r="U53" s="50">
        <v>1</v>
      </c>
      <c r="V53" s="60" t="s">
        <v>664</v>
      </c>
      <c r="W53" s="60" t="s">
        <v>665</v>
      </c>
    </row>
    <row r="54" spans="1:23" ht="18" x14ac:dyDescent="0.35">
      <c r="A54" s="19" t="s">
        <v>35</v>
      </c>
      <c r="B54" s="21">
        <v>49</v>
      </c>
      <c r="C54" s="8" t="s">
        <v>223</v>
      </c>
      <c r="D54" s="35" t="s">
        <v>334</v>
      </c>
      <c r="E54" s="31" t="s">
        <v>344</v>
      </c>
      <c r="F54" s="31" t="s">
        <v>346</v>
      </c>
      <c r="G54" s="38">
        <v>105.32764</v>
      </c>
      <c r="H54" s="38">
        <v>10.598100000000001</v>
      </c>
      <c r="I54" s="38">
        <v>105.32984</v>
      </c>
      <c r="J54" s="38">
        <v>10.59834</v>
      </c>
      <c r="K54" s="35"/>
      <c r="L54" s="8"/>
      <c r="M54" s="13"/>
      <c r="N54" s="3"/>
      <c r="O54" s="13"/>
      <c r="P54" s="3"/>
      <c r="Q54" s="3">
        <v>1</v>
      </c>
      <c r="R54" s="3"/>
      <c r="S54" s="12" t="s">
        <v>64</v>
      </c>
      <c r="T54" s="47" t="s">
        <v>766</v>
      </c>
      <c r="U54" s="50">
        <v>1</v>
      </c>
      <c r="V54" s="60" t="s">
        <v>664</v>
      </c>
      <c r="W54" s="60" t="s">
        <v>665</v>
      </c>
    </row>
    <row r="55" spans="1:23" ht="18" x14ac:dyDescent="0.35">
      <c r="A55" s="19" t="s">
        <v>36</v>
      </c>
      <c r="B55" s="21">
        <v>50</v>
      </c>
      <c r="C55" s="8" t="s">
        <v>223</v>
      </c>
      <c r="D55" s="35" t="s">
        <v>334</v>
      </c>
      <c r="E55" s="31" t="s">
        <v>347</v>
      </c>
      <c r="F55" s="31" t="s">
        <v>348</v>
      </c>
      <c r="G55" s="38">
        <v>105.33313</v>
      </c>
      <c r="H55" s="38">
        <v>10.598380000000001</v>
      </c>
      <c r="I55" s="38">
        <v>105.33177999999999</v>
      </c>
      <c r="J55" s="38">
        <v>10.59844</v>
      </c>
      <c r="K55" s="35"/>
      <c r="L55" s="8"/>
      <c r="M55" s="13"/>
      <c r="N55" s="3">
        <v>1</v>
      </c>
      <c r="O55" s="13"/>
      <c r="P55" s="3"/>
      <c r="Q55" s="3">
        <v>1</v>
      </c>
      <c r="R55" s="3"/>
      <c r="S55" s="12" t="s">
        <v>64</v>
      </c>
      <c r="T55" s="47" t="s">
        <v>766</v>
      </c>
      <c r="U55" s="50">
        <v>1</v>
      </c>
      <c r="V55" s="60" t="s">
        <v>664</v>
      </c>
      <c r="W55" s="60" t="s">
        <v>665</v>
      </c>
    </row>
    <row r="56" spans="1:23" ht="18" x14ac:dyDescent="0.35">
      <c r="A56" s="19" t="s">
        <v>36</v>
      </c>
      <c r="B56" s="21">
        <v>51</v>
      </c>
      <c r="C56" s="8" t="s">
        <v>223</v>
      </c>
      <c r="D56" s="35" t="s">
        <v>334</v>
      </c>
      <c r="E56" s="31" t="s">
        <v>349</v>
      </c>
      <c r="F56" s="31" t="s">
        <v>350</v>
      </c>
      <c r="G56" s="38">
        <v>105.33629000000001</v>
      </c>
      <c r="H56" s="38">
        <v>10.59792</v>
      </c>
      <c r="I56" s="38">
        <v>105.33932</v>
      </c>
      <c r="J56" s="38">
        <v>10.59732</v>
      </c>
      <c r="K56" s="35">
        <v>400</v>
      </c>
      <c r="L56" s="8"/>
      <c r="M56" s="13"/>
      <c r="N56" s="3"/>
      <c r="O56" s="13"/>
      <c r="P56" s="3"/>
      <c r="Q56" s="3">
        <v>1</v>
      </c>
      <c r="R56" s="3"/>
      <c r="S56" s="12" t="s">
        <v>64</v>
      </c>
      <c r="T56" s="47" t="s">
        <v>766</v>
      </c>
      <c r="U56" s="50">
        <v>1</v>
      </c>
      <c r="V56" s="60" t="s">
        <v>664</v>
      </c>
      <c r="W56" s="60" t="s">
        <v>665</v>
      </c>
    </row>
    <row r="57" spans="1:23" ht="31.2" x14ac:dyDescent="0.35">
      <c r="A57" s="19" t="s">
        <v>36</v>
      </c>
      <c r="B57" s="21">
        <v>52</v>
      </c>
      <c r="C57" s="8" t="s">
        <v>223</v>
      </c>
      <c r="D57" s="35" t="s">
        <v>334</v>
      </c>
      <c r="E57" s="31" t="s">
        <v>351</v>
      </c>
      <c r="F57" s="31" t="s">
        <v>352</v>
      </c>
      <c r="G57" s="38">
        <v>105.32203</v>
      </c>
      <c r="H57" s="38">
        <v>10.5969</v>
      </c>
      <c r="I57" s="38">
        <v>105.32307</v>
      </c>
      <c r="J57" s="38">
        <v>10.597099999999999</v>
      </c>
      <c r="K57" s="35">
        <v>120</v>
      </c>
      <c r="L57" s="8"/>
      <c r="M57" s="13"/>
      <c r="N57" s="3">
        <v>1</v>
      </c>
      <c r="O57" s="13"/>
      <c r="P57" s="3"/>
      <c r="Q57" s="3">
        <v>1</v>
      </c>
      <c r="R57" s="3"/>
      <c r="S57" s="12" t="s">
        <v>64</v>
      </c>
      <c r="T57" s="47" t="s">
        <v>767</v>
      </c>
      <c r="U57" s="50">
        <v>1</v>
      </c>
      <c r="V57" s="60" t="s">
        <v>664</v>
      </c>
      <c r="W57" s="60" t="s">
        <v>665</v>
      </c>
    </row>
    <row r="58" spans="1:23" ht="31.2" x14ac:dyDescent="0.35">
      <c r="A58" s="19" t="s">
        <v>36</v>
      </c>
      <c r="B58" s="21">
        <v>53</v>
      </c>
      <c r="C58" s="8" t="s">
        <v>223</v>
      </c>
      <c r="D58" s="35" t="s">
        <v>334</v>
      </c>
      <c r="E58" s="31" t="s">
        <v>352</v>
      </c>
      <c r="F58" s="31" t="s">
        <v>353</v>
      </c>
      <c r="G58" s="38">
        <v>105.32307</v>
      </c>
      <c r="H58" s="38">
        <v>10.597099999999999</v>
      </c>
      <c r="I58" s="38">
        <v>105.32425000000001</v>
      </c>
      <c r="J58" s="38">
        <v>10.597149999999999</v>
      </c>
      <c r="K58" s="35">
        <v>170</v>
      </c>
      <c r="L58" s="8"/>
      <c r="M58" s="13"/>
      <c r="N58" s="3"/>
      <c r="O58" s="13"/>
      <c r="P58" s="3"/>
      <c r="Q58" s="3">
        <v>1</v>
      </c>
      <c r="R58" s="3"/>
      <c r="S58" s="12" t="s">
        <v>64</v>
      </c>
      <c r="T58" s="47" t="s">
        <v>767</v>
      </c>
      <c r="U58" s="50">
        <v>1</v>
      </c>
      <c r="V58" s="60" t="s">
        <v>664</v>
      </c>
      <c r="W58" s="60" t="s">
        <v>665</v>
      </c>
    </row>
    <row r="59" spans="1:23" ht="31.2" x14ac:dyDescent="0.35">
      <c r="A59" s="19" t="s">
        <v>36</v>
      </c>
      <c r="B59" s="21">
        <v>54</v>
      </c>
      <c r="C59" s="8" t="s">
        <v>223</v>
      </c>
      <c r="D59" s="35" t="s">
        <v>334</v>
      </c>
      <c r="E59" s="31" t="s">
        <v>353</v>
      </c>
      <c r="F59" s="31" t="s">
        <v>354</v>
      </c>
      <c r="G59" s="38">
        <v>105.32425000000001</v>
      </c>
      <c r="H59" s="38">
        <v>10.597149999999999</v>
      </c>
      <c r="I59" s="38">
        <v>105.32850999999999</v>
      </c>
      <c r="J59" s="38">
        <v>10.59773</v>
      </c>
      <c r="K59" s="35">
        <v>560</v>
      </c>
      <c r="L59" s="8"/>
      <c r="M59" s="13"/>
      <c r="N59" s="3"/>
      <c r="O59" s="13"/>
      <c r="P59" s="3"/>
      <c r="Q59" s="3">
        <v>1</v>
      </c>
      <c r="R59" s="3"/>
      <c r="S59" s="12" t="s">
        <v>64</v>
      </c>
      <c r="T59" s="47" t="s">
        <v>767</v>
      </c>
      <c r="U59" s="50">
        <v>1</v>
      </c>
      <c r="V59" s="60" t="s">
        <v>664</v>
      </c>
      <c r="W59" s="60" t="s">
        <v>665</v>
      </c>
    </row>
    <row r="60" spans="1:23" ht="31.2" x14ac:dyDescent="0.35">
      <c r="A60" s="19" t="s">
        <v>37</v>
      </c>
      <c r="B60" s="21">
        <v>55</v>
      </c>
      <c r="C60" s="8" t="s">
        <v>223</v>
      </c>
      <c r="D60" s="35" t="s">
        <v>334</v>
      </c>
      <c r="E60" s="31" t="s">
        <v>354</v>
      </c>
      <c r="F60" s="31" t="s">
        <v>355</v>
      </c>
      <c r="G60" s="38">
        <v>105.32850999999999</v>
      </c>
      <c r="H60" s="38">
        <v>10.59773</v>
      </c>
      <c r="I60" s="38">
        <v>105.32917999999999</v>
      </c>
      <c r="J60" s="38">
        <v>10.597720000000001</v>
      </c>
      <c r="K60" s="35">
        <v>120</v>
      </c>
      <c r="L60" s="8"/>
      <c r="M60" s="13"/>
      <c r="N60" s="3"/>
      <c r="O60" s="13"/>
      <c r="P60" s="3"/>
      <c r="Q60" s="3">
        <v>1</v>
      </c>
      <c r="R60" s="3"/>
      <c r="S60" s="12" t="s">
        <v>64</v>
      </c>
      <c r="T60" s="47" t="s">
        <v>767</v>
      </c>
      <c r="U60" s="50">
        <v>1</v>
      </c>
      <c r="V60" s="60" t="s">
        <v>664</v>
      </c>
      <c r="W60" s="60" t="s">
        <v>665</v>
      </c>
    </row>
    <row r="61" spans="1:23" ht="31.2" x14ac:dyDescent="0.35">
      <c r="A61" s="19" t="s">
        <v>37</v>
      </c>
      <c r="B61" s="21">
        <v>56</v>
      </c>
      <c r="C61" s="8" t="s">
        <v>223</v>
      </c>
      <c r="D61" s="35" t="s">
        <v>334</v>
      </c>
      <c r="E61" s="31" t="s">
        <v>355</v>
      </c>
      <c r="F61" s="31" t="s">
        <v>356</v>
      </c>
      <c r="G61" s="38">
        <v>105.32917999999999</v>
      </c>
      <c r="H61" s="38">
        <v>10.597720000000001</v>
      </c>
      <c r="I61" s="38">
        <v>105.33240000000001</v>
      </c>
      <c r="J61" s="38">
        <v>10.59789</v>
      </c>
      <c r="K61" s="35">
        <v>420</v>
      </c>
      <c r="L61" s="8"/>
      <c r="M61" s="13"/>
      <c r="N61" s="3">
        <v>1</v>
      </c>
      <c r="O61" s="13"/>
      <c r="P61" s="3"/>
      <c r="Q61" s="3">
        <v>1</v>
      </c>
      <c r="R61" s="3"/>
      <c r="S61" s="12" t="s">
        <v>64</v>
      </c>
      <c r="T61" s="47" t="s">
        <v>767</v>
      </c>
      <c r="U61" s="50">
        <v>1</v>
      </c>
      <c r="V61" s="60" t="s">
        <v>664</v>
      </c>
      <c r="W61" s="60" t="s">
        <v>665</v>
      </c>
    </row>
    <row r="62" spans="1:23" ht="31.2" x14ac:dyDescent="0.35">
      <c r="A62" s="19" t="s">
        <v>37</v>
      </c>
      <c r="B62" s="21">
        <v>57</v>
      </c>
      <c r="C62" s="8" t="s">
        <v>223</v>
      </c>
      <c r="D62" s="35" t="s">
        <v>334</v>
      </c>
      <c r="E62" s="31" t="s">
        <v>356</v>
      </c>
      <c r="F62" s="31" t="s">
        <v>357</v>
      </c>
      <c r="G62" s="38">
        <v>105.33240000000001</v>
      </c>
      <c r="H62" s="38">
        <v>10.59789</v>
      </c>
      <c r="I62" s="38">
        <v>105.33307000000001</v>
      </c>
      <c r="J62" s="38">
        <v>10.597720000000001</v>
      </c>
      <c r="K62" s="35">
        <v>120</v>
      </c>
      <c r="L62" s="8"/>
      <c r="M62" s="13"/>
      <c r="N62" s="3"/>
      <c r="O62" s="13"/>
      <c r="P62" s="3"/>
      <c r="Q62" s="3"/>
      <c r="R62" s="3"/>
      <c r="S62" s="12" t="s">
        <v>64</v>
      </c>
      <c r="T62" s="47" t="s">
        <v>767</v>
      </c>
      <c r="U62" s="50">
        <v>1</v>
      </c>
      <c r="V62" s="60" t="s">
        <v>664</v>
      </c>
      <c r="W62" s="60" t="s">
        <v>665</v>
      </c>
    </row>
    <row r="63" spans="1:23" ht="18" x14ac:dyDescent="0.35">
      <c r="A63" s="19" t="s">
        <v>38</v>
      </c>
      <c r="B63" s="21">
        <v>58</v>
      </c>
      <c r="C63" s="8" t="s">
        <v>223</v>
      </c>
      <c r="D63" s="35" t="s">
        <v>334</v>
      </c>
      <c r="E63" s="31" t="s">
        <v>358</v>
      </c>
      <c r="F63" s="31" t="s">
        <v>359</v>
      </c>
      <c r="G63" s="38">
        <v>105.30895</v>
      </c>
      <c r="H63" s="38">
        <v>10.59178</v>
      </c>
      <c r="I63" s="38">
        <v>105.3082</v>
      </c>
      <c r="J63" s="38">
        <v>10.592129999999999</v>
      </c>
      <c r="K63" s="35">
        <v>180</v>
      </c>
      <c r="L63" s="8"/>
      <c r="M63" s="13"/>
      <c r="N63" s="3"/>
      <c r="O63" s="13"/>
      <c r="P63" s="3"/>
      <c r="Q63" s="3"/>
      <c r="R63" s="3"/>
      <c r="S63" s="12" t="s">
        <v>64</v>
      </c>
      <c r="T63" s="47" t="s">
        <v>768</v>
      </c>
      <c r="U63" s="50">
        <v>1</v>
      </c>
      <c r="V63" s="60" t="s">
        <v>664</v>
      </c>
      <c r="W63" s="60" t="s">
        <v>665</v>
      </c>
    </row>
    <row r="64" spans="1:23" ht="18" x14ac:dyDescent="0.35">
      <c r="A64" s="19" t="s">
        <v>39</v>
      </c>
      <c r="B64" s="21">
        <v>59</v>
      </c>
      <c r="C64" s="8" t="s">
        <v>223</v>
      </c>
      <c r="D64" s="35" t="s">
        <v>334</v>
      </c>
      <c r="E64" s="31" t="s">
        <v>359</v>
      </c>
      <c r="F64" s="31" t="s">
        <v>360</v>
      </c>
      <c r="G64" s="38">
        <v>105.3082</v>
      </c>
      <c r="H64" s="38">
        <v>10.592129999999999</v>
      </c>
      <c r="I64" s="38">
        <v>105.30835999999999</v>
      </c>
      <c r="J64" s="38">
        <v>10.590249999999999</v>
      </c>
      <c r="K64" s="35">
        <v>320</v>
      </c>
      <c r="L64" s="8"/>
      <c r="M64" s="13"/>
      <c r="N64" s="3"/>
      <c r="O64" s="13"/>
      <c r="P64" s="3"/>
      <c r="Q64" s="3">
        <v>1</v>
      </c>
      <c r="R64" s="3"/>
      <c r="S64" s="12" t="s">
        <v>64</v>
      </c>
      <c r="T64" s="47" t="s">
        <v>768</v>
      </c>
      <c r="U64" s="50">
        <v>1</v>
      </c>
      <c r="V64" s="60" t="s">
        <v>664</v>
      </c>
      <c r="W64" s="60" t="s">
        <v>665</v>
      </c>
    </row>
    <row r="65" spans="1:23" ht="18" x14ac:dyDescent="0.35">
      <c r="A65" s="19" t="s">
        <v>40</v>
      </c>
      <c r="B65" s="21">
        <v>60</v>
      </c>
      <c r="C65" s="8" t="s">
        <v>223</v>
      </c>
      <c r="D65" s="35" t="s">
        <v>334</v>
      </c>
      <c r="E65" s="31" t="s">
        <v>360</v>
      </c>
      <c r="F65" s="31" t="s">
        <v>361</v>
      </c>
      <c r="G65" s="38">
        <v>105.30835999999999</v>
      </c>
      <c r="H65" s="38">
        <v>10.590249999999999</v>
      </c>
      <c r="I65" s="38">
        <v>105.30831999999999</v>
      </c>
      <c r="J65" s="38">
        <v>10.589600000000001</v>
      </c>
      <c r="K65" s="35">
        <v>100</v>
      </c>
      <c r="L65" s="8"/>
      <c r="M65" s="13"/>
      <c r="N65" s="3"/>
      <c r="O65" s="13"/>
      <c r="P65" s="3"/>
      <c r="Q65" s="3"/>
      <c r="R65" s="3"/>
      <c r="S65" s="12" t="s">
        <v>64</v>
      </c>
      <c r="T65" s="47" t="s">
        <v>768</v>
      </c>
      <c r="U65" s="50">
        <v>1</v>
      </c>
      <c r="V65" s="60" t="s">
        <v>664</v>
      </c>
      <c r="W65" s="60" t="s">
        <v>665</v>
      </c>
    </row>
    <row r="66" spans="1:23" ht="18" x14ac:dyDescent="0.35">
      <c r="A66" s="19" t="s">
        <v>41</v>
      </c>
      <c r="B66" s="21">
        <v>61</v>
      </c>
      <c r="C66" s="8" t="s">
        <v>223</v>
      </c>
      <c r="D66" s="35" t="s">
        <v>334</v>
      </c>
      <c r="E66" s="31" t="s">
        <v>362</v>
      </c>
      <c r="F66" s="31" t="s">
        <v>363</v>
      </c>
      <c r="G66" s="38">
        <v>105.30971</v>
      </c>
      <c r="H66" s="38">
        <v>10.585229999999999</v>
      </c>
      <c r="I66" s="38">
        <v>105.30962</v>
      </c>
      <c r="J66" s="38">
        <v>10.58408</v>
      </c>
      <c r="K66" s="35"/>
      <c r="L66" s="8"/>
      <c r="M66" s="13"/>
      <c r="N66" s="3"/>
      <c r="O66" s="13"/>
      <c r="P66" s="3"/>
      <c r="Q66" s="3">
        <v>1</v>
      </c>
      <c r="R66" s="3"/>
      <c r="S66" s="12" t="s">
        <v>64</v>
      </c>
      <c r="T66" s="47" t="s">
        <v>769</v>
      </c>
      <c r="U66" s="50">
        <v>1</v>
      </c>
      <c r="V66" s="60" t="s">
        <v>664</v>
      </c>
      <c r="W66" s="60" t="s">
        <v>665</v>
      </c>
    </row>
    <row r="67" spans="1:23" ht="18" x14ac:dyDescent="0.35">
      <c r="A67" s="19" t="s">
        <v>42</v>
      </c>
      <c r="B67" s="21">
        <v>62</v>
      </c>
      <c r="C67" s="8" t="s">
        <v>223</v>
      </c>
      <c r="D67" s="35" t="s">
        <v>334</v>
      </c>
      <c r="E67" s="31" t="s">
        <v>363</v>
      </c>
      <c r="F67" s="31" t="s">
        <v>364</v>
      </c>
      <c r="G67" s="38">
        <v>105.30962</v>
      </c>
      <c r="H67" s="38">
        <v>10.58408</v>
      </c>
      <c r="I67" s="38">
        <v>105.30933</v>
      </c>
      <c r="J67" s="38">
        <v>10.58333</v>
      </c>
      <c r="K67" s="35"/>
      <c r="L67" s="8"/>
      <c r="M67" s="13"/>
      <c r="N67" s="3"/>
      <c r="O67" s="13"/>
      <c r="P67" s="3"/>
      <c r="Q67" s="3">
        <v>1</v>
      </c>
      <c r="R67" s="27"/>
      <c r="S67" s="12" t="s">
        <v>64</v>
      </c>
      <c r="T67" s="47" t="s">
        <v>769</v>
      </c>
      <c r="U67" s="50">
        <v>1</v>
      </c>
      <c r="V67" s="60" t="s">
        <v>664</v>
      </c>
      <c r="W67" s="60" t="s">
        <v>665</v>
      </c>
    </row>
    <row r="68" spans="1:23" ht="18" x14ac:dyDescent="0.35">
      <c r="A68" s="19" t="s">
        <v>42</v>
      </c>
      <c r="B68" s="21">
        <v>63</v>
      </c>
      <c r="C68" s="8" t="s">
        <v>223</v>
      </c>
      <c r="D68" s="35" t="s">
        <v>334</v>
      </c>
      <c r="E68" s="31" t="s">
        <v>365</v>
      </c>
      <c r="F68" s="31" t="s">
        <v>366</v>
      </c>
      <c r="G68" s="38">
        <v>105.30646</v>
      </c>
      <c r="H68" s="38">
        <v>10.57973</v>
      </c>
      <c r="I68" s="38">
        <v>105.30615</v>
      </c>
      <c r="J68" s="38">
        <v>10.579219999999999</v>
      </c>
      <c r="K68" s="35"/>
      <c r="L68" s="8"/>
      <c r="M68" s="13"/>
      <c r="N68" s="3"/>
      <c r="O68" s="13"/>
      <c r="P68" s="3"/>
      <c r="Q68" s="3">
        <v>1</v>
      </c>
      <c r="R68" s="27"/>
      <c r="S68" s="12" t="s">
        <v>64</v>
      </c>
      <c r="T68" s="47" t="s">
        <v>770</v>
      </c>
      <c r="U68" s="50">
        <v>1</v>
      </c>
      <c r="V68" s="60" t="s">
        <v>664</v>
      </c>
      <c r="W68" s="60" t="s">
        <v>665</v>
      </c>
    </row>
    <row r="69" spans="1:23" ht="18" x14ac:dyDescent="0.35">
      <c r="A69" s="19" t="s">
        <v>42</v>
      </c>
      <c r="B69" s="21">
        <v>64</v>
      </c>
      <c r="C69" s="8" t="s">
        <v>223</v>
      </c>
      <c r="D69" s="35" t="s">
        <v>334</v>
      </c>
      <c r="E69" s="31" t="s">
        <v>367</v>
      </c>
      <c r="F69" s="31" t="s">
        <v>368</v>
      </c>
      <c r="G69" s="38">
        <v>105.30905</v>
      </c>
      <c r="H69" s="38">
        <v>10.57752</v>
      </c>
      <c r="I69" s="38">
        <v>105.30795999999999</v>
      </c>
      <c r="J69" s="38">
        <v>10.57775</v>
      </c>
      <c r="K69" s="35"/>
      <c r="L69" s="8"/>
      <c r="M69" s="13"/>
      <c r="N69" s="3"/>
      <c r="O69" s="13"/>
      <c r="P69" s="3"/>
      <c r="Q69" s="3">
        <v>1</v>
      </c>
      <c r="R69" s="27"/>
      <c r="S69" s="12" t="s">
        <v>64</v>
      </c>
      <c r="T69" s="47" t="s">
        <v>770</v>
      </c>
      <c r="U69" s="50">
        <v>1</v>
      </c>
      <c r="V69" s="60" t="s">
        <v>664</v>
      </c>
      <c r="W69" s="60" t="s">
        <v>665</v>
      </c>
    </row>
    <row r="70" spans="1:23" ht="18" x14ac:dyDescent="0.35">
      <c r="A70" s="19" t="s">
        <v>42</v>
      </c>
      <c r="B70" s="21">
        <v>65</v>
      </c>
      <c r="C70" s="8" t="s">
        <v>223</v>
      </c>
      <c r="D70" s="35" t="s">
        <v>334</v>
      </c>
      <c r="E70" s="31" t="s">
        <v>369</v>
      </c>
      <c r="F70" s="31" t="s">
        <v>370</v>
      </c>
      <c r="G70" s="38">
        <v>105.30978</v>
      </c>
      <c r="H70" s="38">
        <v>10.57638</v>
      </c>
      <c r="I70" s="38">
        <v>105.30976</v>
      </c>
      <c r="J70" s="38">
        <v>10.57541</v>
      </c>
      <c r="K70" s="35"/>
      <c r="L70" s="8"/>
      <c r="M70" s="13"/>
      <c r="N70" s="3">
        <v>1</v>
      </c>
      <c r="O70" s="13"/>
      <c r="P70" s="3"/>
      <c r="Q70" s="3">
        <v>1</v>
      </c>
      <c r="R70" s="27"/>
      <c r="S70" s="12" t="s">
        <v>64</v>
      </c>
      <c r="T70" s="47" t="s">
        <v>770</v>
      </c>
      <c r="U70" s="50">
        <v>1</v>
      </c>
      <c r="V70" s="60" t="s">
        <v>664</v>
      </c>
      <c r="W70" s="60" t="s">
        <v>665</v>
      </c>
    </row>
    <row r="71" spans="1:23" ht="18" x14ac:dyDescent="0.35">
      <c r="A71" s="19" t="s">
        <v>43</v>
      </c>
      <c r="B71" s="21">
        <v>66</v>
      </c>
      <c r="C71" s="8" t="s">
        <v>223</v>
      </c>
      <c r="D71" s="35" t="s">
        <v>334</v>
      </c>
      <c r="E71" s="31" t="s">
        <v>371</v>
      </c>
      <c r="F71" s="31" t="s">
        <v>372</v>
      </c>
      <c r="G71" s="38">
        <v>105.30540999999999</v>
      </c>
      <c r="H71" s="38">
        <v>10.57328</v>
      </c>
      <c r="I71" s="38">
        <v>105.30540000000001</v>
      </c>
      <c r="J71" s="38">
        <v>10.574059999999999</v>
      </c>
      <c r="K71" s="35"/>
      <c r="L71" s="8"/>
      <c r="M71" s="15"/>
      <c r="N71" s="3"/>
      <c r="O71" s="13"/>
      <c r="P71" s="3"/>
      <c r="Q71" s="3">
        <v>1</v>
      </c>
      <c r="R71" s="27"/>
      <c r="S71" s="12" t="s">
        <v>64</v>
      </c>
      <c r="T71" s="47" t="s">
        <v>771</v>
      </c>
      <c r="U71" s="50">
        <v>1</v>
      </c>
      <c r="V71" s="60" t="s">
        <v>664</v>
      </c>
      <c r="W71" s="60" t="s">
        <v>665</v>
      </c>
    </row>
    <row r="72" spans="1:23" ht="18" x14ac:dyDescent="0.35">
      <c r="A72" s="19" t="s">
        <v>43</v>
      </c>
      <c r="B72" s="21">
        <v>67</v>
      </c>
      <c r="C72" s="8" t="s">
        <v>223</v>
      </c>
      <c r="D72" s="35" t="s">
        <v>245</v>
      </c>
      <c r="E72" s="31" t="s">
        <v>373</v>
      </c>
      <c r="F72" s="31" t="s">
        <v>374</v>
      </c>
      <c r="G72" s="38">
        <v>105.30428000000001</v>
      </c>
      <c r="H72" s="38">
        <v>10.56635</v>
      </c>
      <c r="I72" s="38">
        <v>105.30436</v>
      </c>
      <c r="J72" s="38">
        <v>10.56728</v>
      </c>
      <c r="K72" s="35">
        <v>120</v>
      </c>
      <c r="L72" s="8"/>
      <c r="M72" s="15"/>
      <c r="N72" s="3"/>
      <c r="O72" s="13"/>
      <c r="P72" s="3"/>
      <c r="Q72" s="3">
        <v>1</v>
      </c>
      <c r="R72" s="27"/>
      <c r="S72" s="12" t="s">
        <v>64</v>
      </c>
      <c r="T72" s="47" t="s">
        <v>771</v>
      </c>
      <c r="U72" s="50">
        <v>1</v>
      </c>
      <c r="V72" s="60" t="s">
        <v>664</v>
      </c>
      <c r="W72" s="60" t="s">
        <v>665</v>
      </c>
    </row>
    <row r="73" spans="1:23" ht="18" x14ac:dyDescent="0.35">
      <c r="A73" s="19" t="s">
        <v>43</v>
      </c>
      <c r="B73" s="21">
        <v>68</v>
      </c>
      <c r="C73" s="8" t="s">
        <v>223</v>
      </c>
      <c r="D73" s="35" t="s">
        <v>334</v>
      </c>
      <c r="E73" s="31" t="s">
        <v>374</v>
      </c>
      <c r="F73" s="31" t="s">
        <v>371</v>
      </c>
      <c r="G73" s="38">
        <v>105.30436</v>
      </c>
      <c r="H73" s="38">
        <v>10.56728</v>
      </c>
      <c r="I73" s="38">
        <v>105.30540999999999</v>
      </c>
      <c r="J73" s="38">
        <v>10.57328</v>
      </c>
      <c r="K73" s="35">
        <v>840</v>
      </c>
      <c r="L73" s="8"/>
      <c r="M73" s="15"/>
      <c r="N73" s="3"/>
      <c r="O73" s="13"/>
      <c r="P73" s="3"/>
      <c r="Q73" s="3"/>
      <c r="R73" s="27"/>
      <c r="S73" s="12" t="s">
        <v>64</v>
      </c>
      <c r="T73" s="47" t="s">
        <v>771</v>
      </c>
      <c r="U73" s="50">
        <v>1</v>
      </c>
      <c r="V73" s="60" t="s">
        <v>664</v>
      </c>
      <c r="W73" s="60" t="s">
        <v>665</v>
      </c>
    </row>
    <row r="74" spans="1:23" ht="31.2" x14ac:dyDescent="0.35">
      <c r="A74" s="19" t="s">
        <v>43</v>
      </c>
      <c r="B74" s="21">
        <v>69</v>
      </c>
      <c r="C74" s="8" t="s">
        <v>223</v>
      </c>
      <c r="D74" s="35" t="s">
        <v>334</v>
      </c>
      <c r="E74" s="31" t="s">
        <v>375</v>
      </c>
      <c r="F74" s="31" t="s">
        <v>376</v>
      </c>
      <c r="G74" s="38">
        <v>105.30916999999999</v>
      </c>
      <c r="H74" s="38">
        <v>10.584960000000001</v>
      </c>
      <c r="I74" s="38">
        <v>105.30907000000001</v>
      </c>
      <c r="J74" s="38">
        <v>10.584160000000001</v>
      </c>
      <c r="K74" s="35"/>
      <c r="L74" s="8"/>
      <c r="M74" s="15"/>
      <c r="N74" s="3">
        <v>1</v>
      </c>
      <c r="O74" s="13"/>
      <c r="P74" s="3"/>
      <c r="Q74" s="3">
        <v>1</v>
      </c>
      <c r="R74" s="27"/>
      <c r="S74" s="12" t="s">
        <v>64</v>
      </c>
      <c r="T74" s="47" t="s">
        <v>772</v>
      </c>
      <c r="U74" s="50">
        <v>1</v>
      </c>
      <c r="V74" s="60" t="s">
        <v>664</v>
      </c>
      <c r="W74" s="60" t="s">
        <v>665</v>
      </c>
    </row>
    <row r="75" spans="1:23" ht="31.2" x14ac:dyDescent="0.35">
      <c r="A75" s="19" t="s">
        <v>44</v>
      </c>
      <c r="B75" s="21">
        <v>70</v>
      </c>
      <c r="C75" s="8" t="s">
        <v>223</v>
      </c>
      <c r="D75" s="35" t="s">
        <v>334</v>
      </c>
      <c r="E75" s="31" t="s">
        <v>376</v>
      </c>
      <c r="F75" s="31" t="s">
        <v>377</v>
      </c>
      <c r="G75" s="38">
        <v>105.30907000000001</v>
      </c>
      <c r="H75" s="38">
        <v>10.584160000000001</v>
      </c>
      <c r="I75" s="38">
        <v>105.30884</v>
      </c>
      <c r="J75" s="38">
        <v>10.5829</v>
      </c>
      <c r="K75" s="35"/>
      <c r="L75" s="8"/>
      <c r="M75" s="15"/>
      <c r="N75" s="3"/>
      <c r="O75" s="13"/>
      <c r="P75" s="3"/>
      <c r="Q75" s="3">
        <v>1</v>
      </c>
      <c r="R75" s="27"/>
      <c r="S75" s="12" t="s">
        <v>64</v>
      </c>
      <c r="T75" s="47" t="s">
        <v>772</v>
      </c>
      <c r="U75" s="50">
        <v>1</v>
      </c>
      <c r="V75" s="60" t="s">
        <v>664</v>
      </c>
      <c r="W75" s="60" t="s">
        <v>665</v>
      </c>
    </row>
    <row r="76" spans="1:23" ht="31.2" x14ac:dyDescent="0.35">
      <c r="A76" s="19" t="s">
        <v>44</v>
      </c>
      <c r="B76" s="21">
        <v>71</v>
      </c>
      <c r="C76" s="8" t="s">
        <v>223</v>
      </c>
      <c r="D76" s="35" t="s">
        <v>334</v>
      </c>
      <c r="E76" s="31" t="s">
        <v>378</v>
      </c>
      <c r="F76" s="31" t="s">
        <v>379</v>
      </c>
      <c r="G76" s="38">
        <v>105.30752</v>
      </c>
      <c r="H76" s="38">
        <v>10.58093</v>
      </c>
      <c r="I76" s="38">
        <v>105.30637</v>
      </c>
      <c r="J76" s="38">
        <v>10.580299999999999</v>
      </c>
      <c r="K76" s="35"/>
      <c r="L76" s="8"/>
      <c r="M76" s="15"/>
      <c r="N76" s="3">
        <v>1</v>
      </c>
      <c r="O76" s="13"/>
      <c r="P76" s="3"/>
      <c r="Q76" s="3">
        <v>1</v>
      </c>
      <c r="R76" s="27"/>
      <c r="S76" s="12" t="s">
        <v>64</v>
      </c>
      <c r="T76" s="47" t="s">
        <v>772</v>
      </c>
      <c r="U76" s="50">
        <v>1</v>
      </c>
      <c r="V76" s="60" t="s">
        <v>664</v>
      </c>
      <c r="W76" s="60" t="s">
        <v>665</v>
      </c>
    </row>
    <row r="77" spans="1:23" ht="31.2" x14ac:dyDescent="0.35">
      <c r="A77" s="19" t="s">
        <v>44</v>
      </c>
      <c r="B77" s="21">
        <v>72</v>
      </c>
      <c r="C77" s="8" t="s">
        <v>223</v>
      </c>
      <c r="D77" s="35" t="s">
        <v>334</v>
      </c>
      <c r="E77" s="31" t="s">
        <v>379</v>
      </c>
      <c r="F77" s="31" t="s">
        <v>380</v>
      </c>
      <c r="G77" s="38">
        <v>105.30637</v>
      </c>
      <c r="H77" s="38">
        <v>10.580299999999999</v>
      </c>
      <c r="I77" s="38">
        <v>105.30557</v>
      </c>
      <c r="J77" s="38">
        <v>10.578849999999999</v>
      </c>
      <c r="K77" s="35"/>
      <c r="L77" s="8"/>
      <c r="M77" s="15"/>
      <c r="N77" s="3"/>
      <c r="O77" s="13"/>
      <c r="P77" s="3"/>
      <c r="Q77" s="3">
        <v>1</v>
      </c>
      <c r="R77" s="27"/>
      <c r="S77" s="12" t="s">
        <v>64</v>
      </c>
      <c r="T77" s="47" t="s">
        <v>772</v>
      </c>
      <c r="U77" s="50">
        <v>1</v>
      </c>
      <c r="V77" s="60" t="s">
        <v>664</v>
      </c>
      <c r="W77" s="60" t="s">
        <v>665</v>
      </c>
    </row>
    <row r="78" spans="1:23" ht="18" x14ac:dyDescent="0.35">
      <c r="A78" s="19" t="s">
        <v>44</v>
      </c>
      <c r="B78" s="21">
        <v>73</v>
      </c>
      <c r="C78" s="8" t="s">
        <v>223</v>
      </c>
      <c r="D78" s="35" t="s">
        <v>245</v>
      </c>
      <c r="E78" s="31" t="s">
        <v>381</v>
      </c>
      <c r="F78" s="31" t="s">
        <v>382</v>
      </c>
      <c r="G78" s="38">
        <v>105.30392999999999</v>
      </c>
      <c r="H78" s="38">
        <v>10.568720000000001</v>
      </c>
      <c r="I78" s="38">
        <v>105.30386</v>
      </c>
      <c r="J78" s="38">
        <v>10.569430000000001</v>
      </c>
      <c r="K78" s="35"/>
      <c r="L78" s="8"/>
      <c r="M78" s="15"/>
      <c r="N78" s="3">
        <v>1</v>
      </c>
      <c r="O78" s="13"/>
      <c r="P78" s="3"/>
      <c r="Q78" s="3">
        <v>1</v>
      </c>
      <c r="R78" s="27"/>
      <c r="S78" s="12" t="s">
        <v>64</v>
      </c>
      <c r="T78" s="47" t="s">
        <v>773</v>
      </c>
      <c r="U78" s="50">
        <v>1</v>
      </c>
      <c r="V78" s="60" t="s">
        <v>664</v>
      </c>
      <c r="W78" s="60" t="s">
        <v>665</v>
      </c>
    </row>
    <row r="79" spans="1:23" ht="18" x14ac:dyDescent="0.35">
      <c r="A79" s="19" t="s">
        <v>44</v>
      </c>
      <c r="B79" s="21">
        <v>74</v>
      </c>
      <c r="C79" s="8" t="s">
        <v>223</v>
      </c>
      <c r="D79" s="35" t="s">
        <v>245</v>
      </c>
      <c r="E79" s="31" t="s">
        <v>383</v>
      </c>
      <c r="F79" s="31" t="s">
        <v>384</v>
      </c>
      <c r="G79" s="38">
        <v>105.30397000000001</v>
      </c>
      <c r="H79" s="38">
        <v>10.570489999999999</v>
      </c>
      <c r="I79" s="38">
        <v>105.3043</v>
      </c>
      <c r="J79" s="38">
        <v>10.57123</v>
      </c>
      <c r="K79" s="35"/>
      <c r="L79" s="8"/>
      <c r="M79" s="15"/>
      <c r="N79" s="3"/>
      <c r="O79" s="13"/>
      <c r="P79" s="3"/>
      <c r="Q79" s="3">
        <v>1</v>
      </c>
      <c r="R79" s="27"/>
      <c r="S79" s="12" t="s">
        <v>64</v>
      </c>
      <c r="T79" s="47" t="s">
        <v>773</v>
      </c>
      <c r="U79" s="50">
        <v>1</v>
      </c>
      <c r="V79" s="60" t="s">
        <v>664</v>
      </c>
      <c r="W79" s="60" t="s">
        <v>665</v>
      </c>
    </row>
  </sheetData>
  <autoFilter ref="A5:U79" xr:uid="{7EBAF633-73BE-4BD8-B403-F23907A75F98}"/>
  <mergeCells count="16">
    <mergeCell ref="V4:W4"/>
    <mergeCell ref="B3:H3"/>
    <mergeCell ref="I3:J3"/>
    <mergeCell ref="B1:U1"/>
    <mergeCell ref="B2:H2"/>
    <mergeCell ref="I2:J2"/>
    <mergeCell ref="S4:S5"/>
    <mergeCell ref="T4:T5"/>
    <mergeCell ref="U4:U5"/>
    <mergeCell ref="B4:B5"/>
    <mergeCell ref="C4:C5"/>
    <mergeCell ref="D4:D5"/>
    <mergeCell ref="E4:E5"/>
    <mergeCell ref="F4:F5"/>
    <mergeCell ref="G4:H4"/>
    <mergeCell ref="I4:J4"/>
  </mergeCells>
  <conditionalFormatting sqref="A63:A66">
    <cfRule type="duplicateValues" dxfId="0" priority="1"/>
  </conditionalFormatting>
  <dataValidations count="1">
    <dataValidation type="list" allowBlank="1" showInputMessage="1" showErrorMessage="1" sqref="U6:U382" xr:uid="{D978EC80-6233-4134-A135-46298636C867}">
      <formula1>"1,2,3"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EC76-6BCA-4D1E-BFCA-295C5791EDA9}">
  <sheetPr>
    <tabColor rgb="FF00B0F0"/>
  </sheetPr>
  <dimension ref="A1:W44"/>
  <sheetViews>
    <sheetView topLeftCell="B1" zoomScale="77" zoomScaleNormal="77" workbookViewId="0">
      <selection activeCell="V4" sqref="V4:W5"/>
    </sheetView>
  </sheetViews>
  <sheetFormatPr defaultRowHeight="14.4" x14ac:dyDescent="0.3"/>
  <cols>
    <col min="1" max="1" width="68.33203125" hidden="1" customWidth="1"/>
    <col min="2" max="2" width="5.88671875" bestFit="1" customWidth="1"/>
    <col min="3" max="3" width="10.44140625" customWidth="1"/>
    <col min="4" max="4" width="15.44140625" bestFit="1" customWidth="1"/>
    <col min="5" max="5" width="45.88671875" customWidth="1"/>
    <col min="6" max="6" width="41.33203125" customWidth="1"/>
    <col min="7" max="10" width="14.6640625" style="7" bestFit="1" customWidth="1"/>
    <col min="11" max="11" width="18.44140625" customWidth="1"/>
    <col min="12" max="13" width="12.77734375" customWidth="1"/>
    <col min="14" max="14" width="7.88671875" bestFit="1" customWidth="1"/>
    <col min="15" max="15" width="7.88671875" customWidth="1"/>
    <col min="16" max="16" width="8.44140625" bestFit="1" customWidth="1"/>
    <col min="17" max="17" width="9.6640625" bestFit="1" customWidth="1"/>
    <col min="18" max="18" width="6.33203125" bestFit="1" customWidth="1"/>
    <col min="19" max="20" width="32.33203125" customWidth="1"/>
    <col min="21" max="21" width="14" customWidth="1"/>
    <col min="22" max="22" width="10" bestFit="1" customWidth="1"/>
    <col min="23" max="23" width="77.5546875" bestFit="1" customWidth="1"/>
  </cols>
  <sheetData>
    <row r="1" spans="1:23" ht="46.2" customHeight="1" x14ac:dyDescent="0.3">
      <c r="A1" s="19"/>
      <c r="B1" s="101" t="s">
        <v>68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3" ht="16.8" x14ac:dyDescent="0.3">
      <c r="A2" s="19"/>
      <c r="B2" s="102"/>
      <c r="C2" s="102"/>
      <c r="D2" s="102"/>
      <c r="E2" s="102"/>
      <c r="F2" s="102"/>
      <c r="G2" s="102"/>
      <c r="H2" s="102"/>
      <c r="I2" s="103"/>
      <c r="J2" s="103"/>
      <c r="K2" s="29"/>
      <c r="L2" s="29"/>
      <c r="M2" s="29"/>
      <c r="N2" s="29"/>
      <c r="O2" s="29"/>
      <c r="P2" s="29"/>
      <c r="Q2" s="29"/>
      <c r="R2" s="29"/>
      <c r="S2" s="22"/>
      <c r="T2" s="22"/>
    </row>
    <row r="3" spans="1:23" ht="16.8" x14ac:dyDescent="0.3">
      <c r="A3" s="19"/>
      <c r="B3" s="105" t="s">
        <v>74</v>
      </c>
      <c r="C3" s="105"/>
      <c r="D3" s="105"/>
      <c r="E3" s="105"/>
      <c r="F3" s="105"/>
      <c r="G3" s="105"/>
      <c r="H3" s="105"/>
      <c r="I3" s="104" t="s">
        <v>197</v>
      </c>
      <c r="J3" s="104"/>
      <c r="K3" s="25">
        <f t="shared" ref="K3:R3" ca="1" si="0">SUMIF($C$6:$C$4265,"Tân Châu",K6:K4264)</f>
        <v>8000</v>
      </c>
      <c r="L3" s="25">
        <f t="shared" ca="1" si="0"/>
        <v>0</v>
      </c>
      <c r="M3" s="25">
        <f t="shared" ca="1" si="0"/>
        <v>0</v>
      </c>
      <c r="N3" s="25">
        <f t="shared" ca="1" si="0"/>
        <v>11</v>
      </c>
      <c r="O3" s="25">
        <f t="shared" ca="1" si="0"/>
        <v>0</v>
      </c>
      <c r="P3" s="25">
        <f t="shared" ca="1" si="0"/>
        <v>0</v>
      </c>
      <c r="Q3" s="25">
        <f t="shared" ca="1" si="0"/>
        <v>39</v>
      </c>
      <c r="R3" s="25">
        <f t="shared" ca="1" si="0"/>
        <v>0</v>
      </c>
      <c r="S3" s="22"/>
      <c r="T3" s="22"/>
    </row>
    <row r="4" spans="1:23" ht="42.6" customHeight="1" x14ac:dyDescent="0.3">
      <c r="A4" s="18" t="s">
        <v>6</v>
      </c>
      <c r="B4" s="94" t="s">
        <v>3</v>
      </c>
      <c r="C4" s="94" t="s">
        <v>7</v>
      </c>
      <c r="D4" s="94" t="s">
        <v>8</v>
      </c>
      <c r="E4" s="94" t="s">
        <v>9</v>
      </c>
      <c r="F4" s="94" t="s">
        <v>10</v>
      </c>
      <c r="G4" s="94" t="s">
        <v>65</v>
      </c>
      <c r="H4" s="94"/>
      <c r="I4" s="94" t="s">
        <v>66</v>
      </c>
      <c r="J4" s="94"/>
      <c r="K4" s="23" t="s">
        <v>69</v>
      </c>
      <c r="L4" s="23" t="s">
        <v>70</v>
      </c>
      <c r="M4" s="23" t="s">
        <v>71</v>
      </c>
      <c r="N4" s="23" t="s">
        <v>13</v>
      </c>
      <c r="O4" s="23" t="s">
        <v>72</v>
      </c>
      <c r="P4" s="23" t="s">
        <v>73</v>
      </c>
      <c r="Q4" s="23" t="s">
        <v>14</v>
      </c>
      <c r="R4" s="23" t="s">
        <v>15</v>
      </c>
      <c r="S4" s="94" t="s">
        <v>0</v>
      </c>
      <c r="T4" s="96" t="s">
        <v>67</v>
      </c>
      <c r="U4" s="98" t="s">
        <v>606</v>
      </c>
      <c r="V4" s="93" t="s">
        <v>661</v>
      </c>
      <c r="W4" s="93"/>
    </row>
    <row r="5" spans="1:23" ht="16.8" x14ac:dyDescent="0.3">
      <c r="A5" s="18"/>
      <c r="B5" s="95"/>
      <c r="C5" s="95"/>
      <c r="D5" s="95"/>
      <c r="E5" s="95"/>
      <c r="F5" s="95"/>
      <c r="G5" s="9" t="s">
        <v>11</v>
      </c>
      <c r="H5" s="9" t="s">
        <v>12</v>
      </c>
      <c r="I5" s="9" t="s">
        <v>11</v>
      </c>
      <c r="J5" s="9" t="s">
        <v>12</v>
      </c>
      <c r="K5" s="4">
        <f>SUBTOTAL(9,K6:K3978)</f>
        <v>8000</v>
      </c>
      <c r="L5" s="4">
        <f t="shared" ref="L5:R5" si="1">SUBTOTAL(9,L6:L3978)</f>
        <v>0</v>
      </c>
      <c r="M5" s="4">
        <f t="shared" si="1"/>
        <v>0</v>
      </c>
      <c r="N5" s="4">
        <f t="shared" si="1"/>
        <v>11</v>
      </c>
      <c r="O5" s="4">
        <f t="shared" si="1"/>
        <v>0</v>
      </c>
      <c r="P5" s="4">
        <f t="shared" si="1"/>
        <v>0</v>
      </c>
      <c r="Q5" s="4">
        <f t="shared" si="1"/>
        <v>39</v>
      </c>
      <c r="R5" s="4">
        <f t="shared" si="1"/>
        <v>0</v>
      </c>
      <c r="S5" s="95"/>
      <c r="T5" s="97"/>
      <c r="U5" s="98"/>
      <c r="V5" s="70" t="s">
        <v>662</v>
      </c>
      <c r="W5" s="70" t="s">
        <v>663</v>
      </c>
    </row>
    <row r="6" spans="1:23" ht="18" x14ac:dyDescent="0.3">
      <c r="A6" s="19" t="s">
        <v>16</v>
      </c>
      <c r="B6" s="21">
        <v>1</v>
      </c>
      <c r="C6" s="33" t="s">
        <v>198</v>
      </c>
      <c r="D6" s="33" t="s">
        <v>2</v>
      </c>
      <c r="E6" s="33" t="s">
        <v>199</v>
      </c>
      <c r="F6" s="33" t="s">
        <v>200</v>
      </c>
      <c r="G6" s="34">
        <v>105.16804</v>
      </c>
      <c r="H6" s="34">
        <v>10.73387</v>
      </c>
      <c r="I6" s="34">
        <v>105.16795</v>
      </c>
      <c r="J6" s="34">
        <v>10.73385</v>
      </c>
      <c r="K6" s="33">
        <v>80</v>
      </c>
      <c r="L6" s="33"/>
      <c r="M6" s="69"/>
      <c r="N6" s="30"/>
      <c r="O6" s="13"/>
      <c r="P6" s="30"/>
      <c r="Q6" s="30">
        <v>1</v>
      </c>
      <c r="R6" s="17"/>
      <c r="S6" s="3" t="s">
        <v>638</v>
      </c>
      <c r="T6" s="47"/>
      <c r="U6" s="71">
        <v>1</v>
      </c>
      <c r="V6" s="74" t="s">
        <v>664</v>
      </c>
      <c r="W6" s="3" t="s">
        <v>740</v>
      </c>
    </row>
    <row r="7" spans="1:23" ht="18" x14ac:dyDescent="0.3">
      <c r="A7" s="19" t="s">
        <v>17</v>
      </c>
      <c r="B7" s="21">
        <v>2</v>
      </c>
      <c r="C7" s="33" t="s">
        <v>198</v>
      </c>
      <c r="D7" s="33" t="s">
        <v>2</v>
      </c>
      <c r="E7" s="33" t="s">
        <v>200</v>
      </c>
      <c r="F7" s="33" t="s">
        <v>201</v>
      </c>
      <c r="G7" s="34">
        <v>105.16795</v>
      </c>
      <c r="H7" s="34">
        <v>10.73385</v>
      </c>
      <c r="I7" s="34">
        <v>105.16813</v>
      </c>
      <c r="J7" s="34">
        <v>10.73434</v>
      </c>
      <c r="K7" s="33">
        <v>120</v>
      </c>
      <c r="L7" s="33"/>
      <c r="M7" s="13"/>
      <c r="N7" s="30">
        <v>1</v>
      </c>
      <c r="O7" s="13"/>
      <c r="P7" s="30"/>
      <c r="Q7" s="30">
        <v>1</v>
      </c>
      <c r="R7" s="17"/>
      <c r="S7" s="3" t="s">
        <v>638</v>
      </c>
      <c r="T7" s="47"/>
      <c r="U7" s="71">
        <v>1</v>
      </c>
      <c r="V7" s="74" t="s">
        <v>664</v>
      </c>
      <c r="W7" s="3" t="s">
        <v>740</v>
      </c>
    </row>
    <row r="8" spans="1:23" ht="18" x14ac:dyDescent="0.3">
      <c r="A8" s="19" t="s">
        <v>17</v>
      </c>
      <c r="B8" s="21">
        <v>3</v>
      </c>
      <c r="C8" s="33" t="s">
        <v>198</v>
      </c>
      <c r="D8" s="33" t="s">
        <v>2</v>
      </c>
      <c r="E8" s="33" t="s">
        <v>201</v>
      </c>
      <c r="F8" s="33" t="s">
        <v>202</v>
      </c>
      <c r="G8" s="34">
        <v>105.16813</v>
      </c>
      <c r="H8" s="34">
        <v>10.73434</v>
      </c>
      <c r="I8" s="34">
        <v>105.16763</v>
      </c>
      <c r="J8" s="34">
        <v>10.73438</v>
      </c>
      <c r="K8" s="33">
        <v>200</v>
      </c>
      <c r="L8" s="33"/>
      <c r="M8" s="13"/>
      <c r="N8" s="30"/>
      <c r="O8" s="13"/>
      <c r="P8" s="30"/>
      <c r="Q8" s="30">
        <v>1</v>
      </c>
      <c r="R8" s="17"/>
      <c r="S8" s="3" t="s">
        <v>638</v>
      </c>
      <c r="T8" s="47"/>
      <c r="U8" s="71">
        <v>1</v>
      </c>
      <c r="V8" s="74" t="s">
        <v>664</v>
      </c>
      <c r="W8" s="3" t="s">
        <v>740</v>
      </c>
    </row>
    <row r="9" spans="1:23" ht="18" x14ac:dyDescent="0.3">
      <c r="A9" s="19" t="s">
        <v>17</v>
      </c>
      <c r="B9" s="21">
        <v>4</v>
      </c>
      <c r="C9" s="33" t="s">
        <v>198</v>
      </c>
      <c r="D9" s="33" t="s">
        <v>2</v>
      </c>
      <c r="E9" s="33" t="s">
        <v>202</v>
      </c>
      <c r="F9" s="33" t="s">
        <v>203</v>
      </c>
      <c r="G9" s="34">
        <v>105.16763</v>
      </c>
      <c r="H9" s="34">
        <v>10.73438</v>
      </c>
      <c r="I9" s="34">
        <v>105.16716</v>
      </c>
      <c r="J9" s="34">
        <v>10.73456</v>
      </c>
      <c r="K9" s="33">
        <v>100</v>
      </c>
      <c r="L9" s="33"/>
      <c r="M9" s="13"/>
      <c r="N9" s="30"/>
      <c r="O9" s="13"/>
      <c r="P9" s="30"/>
      <c r="Q9" s="30">
        <v>1</v>
      </c>
      <c r="R9" s="17"/>
      <c r="S9" s="3" t="s">
        <v>638</v>
      </c>
      <c r="T9" s="47"/>
      <c r="U9" s="71">
        <v>1</v>
      </c>
      <c r="V9" s="74" t="s">
        <v>664</v>
      </c>
      <c r="W9" s="3" t="s">
        <v>740</v>
      </c>
    </row>
    <row r="10" spans="1:23" ht="18" x14ac:dyDescent="0.3">
      <c r="A10" s="19" t="s">
        <v>17</v>
      </c>
      <c r="B10" s="21">
        <v>5</v>
      </c>
      <c r="C10" s="33" t="s">
        <v>198</v>
      </c>
      <c r="D10" s="33" t="s">
        <v>2</v>
      </c>
      <c r="E10" s="33" t="s">
        <v>203</v>
      </c>
      <c r="F10" s="33" t="s">
        <v>204</v>
      </c>
      <c r="G10" s="34">
        <v>105.16716</v>
      </c>
      <c r="H10" s="34">
        <v>10.73456</v>
      </c>
      <c r="I10" s="34">
        <v>105.16737999999999</v>
      </c>
      <c r="J10" s="34">
        <v>10.73415</v>
      </c>
      <c r="K10" s="33">
        <v>90</v>
      </c>
      <c r="L10" s="33"/>
      <c r="M10" s="13"/>
      <c r="N10" s="30"/>
      <c r="O10" s="13"/>
      <c r="P10" s="30"/>
      <c r="Q10" s="30">
        <v>1</v>
      </c>
      <c r="R10" s="17"/>
      <c r="S10" s="3" t="s">
        <v>638</v>
      </c>
      <c r="T10" s="47"/>
      <c r="U10" s="71">
        <v>1</v>
      </c>
      <c r="V10" s="74" t="s">
        <v>664</v>
      </c>
      <c r="W10" s="3" t="s">
        <v>740</v>
      </c>
    </row>
    <row r="11" spans="1:23" ht="18" x14ac:dyDescent="0.3">
      <c r="A11" s="19" t="s">
        <v>17</v>
      </c>
      <c r="B11" s="21">
        <v>6</v>
      </c>
      <c r="C11" s="33" t="s">
        <v>198</v>
      </c>
      <c r="D11" s="33" t="s">
        <v>2</v>
      </c>
      <c r="E11" s="33" t="s">
        <v>204</v>
      </c>
      <c r="F11" s="33" t="s">
        <v>205</v>
      </c>
      <c r="G11" s="34">
        <v>105.16737999999999</v>
      </c>
      <c r="H11" s="34">
        <v>10.73415</v>
      </c>
      <c r="I11" s="34">
        <v>105.16670999999999</v>
      </c>
      <c r="J11" s="34">
        <v>10.73476</v>
      </c>
      <c r="K11" s="33">
        <v>120</v>
      </c>
      <c r="L11" s="33"/>
      <c r="M11" s="13"/>
      <c r="N11" s="30">
        <v>1</v>
      </c>
      <c r="O11" s="13"/>
      <c r="P11" s="30"/>
      <c r="Q11" s="30">
        <v>1</v>
      </c>
      <c r="R11" s="17"/>
      <c r="S11" s="3" t="s">
        <v>638</v>
      </c>
      <c r="T11" s="47"/>
      <c r="U11" s="71">
        <v>1</v>
      </c>
      <c r="V11" s="74" t="s">
        <v>664</v>
      </c>
      <c r="W11" s="3" t="s">
        <v>740</v>
      </c>
    </row>
    <row r="12" spans="1:23" ht="18" x14ac:dyDescent="0.3">
      <c r="A12" s="19" t="s">
        <v>17</v>
      </c>
      <c r="B12" s="21">
        <v>7</v>
      </c>
      <c r="C12" s="33" t="s">
        <v>198</v>
      </c>
      <c r="D12" s="33" t="s">
        <v>2</v>
      </c>
      <c r="E12" s="33" t="s">
        <v>205</v>
      </c>
      <c r="F12" s="33" t="s">
        <v>206</v>
      </c>
      <c r="G12" s="34">
        <v>105.16670999999999</v>
      </c>
      <c r="H12" s="34">
        <v>10.73476</v>
      </c>
      <c r="I12" s="34">
        <v>105.16754</v>
      </c>
      <c r="J12" s="34">
        <v>10.73556</v>
      </c>
      <c r="K12" s="33">
        <v>150</v>
      </c>
      <c r="L12" s="33"/>
      <c r="M12" s="13"/>
      <c r="N12" s="30"/>
      <c r="O12" s="13"/>
      <c r="P12" s="30"/>
      <c r="Q12" s="30">
        <v>1</v>
      </c>
      <c r="R12" s="17"/>
      <c r="S12" s="3" t="s">
        <v>638</v>
      </c>
      <c r="T12" s="47"/>
      <c r="U12" s="71">
        <v>1</v>
      </c>
      <c r="V12" s="74" t="s">
        <v>664</v>
      </c>
      <c r="W12" s="3" t="s">
        <v>740</v>
      </c>
    </row>
    <row r="13" spans="1:23" ht="18" x14ac:dyDescent="0.3">
      <c r="A13" s="19" t="s">
        <v>17</v>
      </c>
      <c r="B13" s="21">
        <v>8</v>
      </c>
      <c r="C13" s="33" t="s">
        <v>198</v>
      </c>
      <c r="D13" s="33" t="s">
        <v>2</v>
      </c>
      <c r="E13" s="33" t="s">
        <v>206</v>
      </c>
      <c r="F13" s="33" t="s">
        <v>207</v>
      </c>
      <c r="G13" s="34">
        <v>105.16754</v>
      </c>
      <c r="H13" s="34">
        <v>10.73556</v>
      </c>
      <c r="I13" s="34">
        <v>105.16838</v>
      </c>
      <c r="J13" s="34">
        <v>10.7363</v>
      </c>
      <c r="K13" s="33">
        <v>160</v>
      </c>
      <c r="L13" s="33"/>
      <c r="M13" s="13"/>
      <c r="N13" s="30"/>
      <c r="O13" s="13"/>
      <c r="P13" s="30"/>
      <c r="Q13" s="30">
        <v>1</v>
      </c>
      <c r="R13" s="17"/>
      <c r="S13" s="3" t="s">
        <v>638</v>
      </c>
      <c r="T13" s="47"/>
      <c r="U13" s="71">
        <v>1</v>
      </c>
      <c r="V13" s="74" t="s">
        <v>664</v>
      </c>
      <c r="W13" s="3" t="s">
        <v>740</v>
      </c>
    </row>
    <row r="14" spans="1:23" ht="18" x14ac:dyDescent="0.3">
      <c r="A14" s="19" t="s">
        <v>17</v>
      </c>
      <c r="B14" s="21">
        <v>9</v>
      </c>
      <c r="C14" s="33" t="s">
        <v>198</v>
      </c>
      <c r="D14" s="33" t="s">
        <v>2</v>
      </c>
      <c r="E14" s="33" t="s">
        <v>207</v>
      </c>
      <c r="F14" s="33" t="s">
        <v>208</v>
      </c>
      <c r="G14" s="34">
        <v>105.16838</v>
      </c>
      <c r="H14" s="34">
        <v>10.7363</v>
      </c>
      <c r="I14" s="34">
        <v>105.16844</v>
      </c>
      <c r="J14" s="34">
        <v>10.735889999999999</v>
      </c>
      <c r="K14" s="33">
        <v>100</v>
      </c>
      <c r="L14" s="33"/>
      <c r="M14" s="13"/>
      <c r="N14" s="30"/>
      <c r="O14" s="13"/>
      <c r="P14" s="30"/>
      <c r="Q14" s="30">
        <v>1</v>
      </c>
      <c r="R14" s="17"/>
      <c r="S14" s="3" t="s">
        <v>638</v>
      </c>
      <c r="T14" s="47"/>
      <c r="U14" s="71">
        <v>1</v>
      </c>
      <c r="V14" s="74" t="s">
        <v>664</v>
      </c>
      <c r="W14" s="3" t="s">
        <v>740</v>
      </c>
    </row>
    <row r="15" spans="1:23" ht="18" x14ac:dyDescent="0.3">
      <c r="A15" s="19" t="s">
        <v>17</v>
      </c>
      <c r="B15" s="21">
        <v>10</v>
      </c>
      <c r="C15" s="33" t="s">
        <v>198</v>
      </c>
      <c r="D15" s="33" t="s">
        <v>2</v>
      </c>
      <c r="E15" s="33" t="s">
        <v>208</v>
      </c>
      <c r="F15" s="33" t="s">
        <v>209</v>
      </c>
      <c r="G15" s="34">
        <v>105.16844</v>
      </c>
      <c r="H15" s="34">
        <v>10.735889999999999</v>
      </c>
      <c r="I15" s="34">
        <v>105.16798</v>
      </c>
      <c r="J15" s="34">
        <v>10.73545</v>
      </c>
      <c r="K15" s="33">
        <v>100</v>
      </c>
      <c r="L15" s="33"/>
      <c r="M15" s="13"/>
      <c r="N15" s="30">
        <v>1</v>
      </c>
      <c r="O15" s="13"/>
      <c r="P15" s="30"/>
      <c r="Q15" s="30">
        <v>1</v>
      </c>
      <c r="R15" s="17"/>
      <c r="S15" s="3" t="s">
        <v>638</v>
      </c>
      <c r="T15" s="47"/>
      <c r="U15" s="71">
        <v>1</v>
      </c>
      <c r="V15" s="74" t="s">
        <v>664</v>
      </c>
      <c r="W15" s="3" t="s">
        <v>740</v>
      </c>
    </row>
    <row r="16" spans="1:23" ht="18" x14ac:dyDescent="0.3">
      <c r="A16" s="19" t="s">
        <v>18</v>
      </c>
      <c r="B16" s="21">
        <v>11</v>
      </c>
      <c r="C16" s="33" t="s">
        <v>198</v>
      </c>
      <c r="D16" s="33" t="s">
        <v>2</v>
      </c>
      <c r="E16" s="33" t="s">
        <v>209</v>
      </c>
      <c r="F16" s="33" t="s">
        <v>210</v>
      </c>
      <c r="G16" s="34">
        <v>105.16798</v>
      </c>
      <c r="H16" s="34">
        <v>10.73545</v>
      </c>
      <c r="I16" s="34">
        <v>105.16855</v>
      </c>
      <c r="J16" s="34">
        <v>10.735150000000001</v>
      </c>
      <c r="K16" s="33">
        <v>130</v>
      </c>
      <c r="L16" s="33"/>
      <c r="M16" s="13"/>
      <c r="N16" s="30"/>
      <c r="O16" s="13"/>
      <c r="P16" s="30"/>
      <c r="Q16" s="30">
        <v>1</v>
      </c>
      <c r="R16" s="17"/>
      <c r="S16" s="3" t="s">
        <v>638</v>
      </c>
      <c r="T16" s="47"/>
      <c r="U16" s="71">
        <v>1</v>
      </c>
      <c r="V16" s="74" t="s">
        <v>664</v>
      </c>
      <c r="W16" s="3" t="s">
        <v>740</v>
      </c>
    </row>
    <row r="17" spans="1:23" ht="18" x14ac:dyDescent="0.3">
      <c r="A17" s="19" t="s">
        <v>18</v>
      </c>
      <c r="B17" s="21">
        <v>12</v>
      </c>
      <c r="C17" s="33" t="s">
        <v>198</v>
      </c>
      <c r="D17" s="33" t="s">
        <v>1</v>
      </c>
      <c r="E17" s="33" t="s">
        <v>211</v>
      </c>
      <c r="F17" s="33" t="s">
        <v>212</v>
      </c>
      <c r="G17" s="34">
        <v>105.20671</v>
      </c>
      <c r="H17" s="34">
        <v>10.76859</v>
      </c>
      <c r="I17" s="34">
        <v>105.20715</v>
      </c>
      <c r="J17" s="34">
        <v>10.76886</v>
      </c>
      <c r="K17" s="33">
        <v>120</v>
      </c>
      <c r="L17" s="33"/>
      <c r="M17" s="13"/>
      <c r="N17" s="30"/>
      <c r="O17" s="13"/>
      <c r="P17" s="30"/>
      <c r="Q17" s="30">
        <v>1</v>
      </c>
      <c r="R17" s="17"/>
      <c r="S17" s="3" t="s">
        <v>638</v>
      </c>
      <c r="T17" s="47"/>
      <c r="U17" s="71">
        <v>1</v>
      </c>
      <c r="V17" s="74" t="s">
        <v>664</v>
      </c>
      <c r="W17" s="3" t="s">
        <v>740</v>
      </c>
    </row>
    <row r="18" spans="1:23" ht="18" x14ac:dyDescent="0.3">
      <c r="A18" s="19" t="s">
        <v>18</v>
      </c>
      <c r="B18" s="21">
        <v>13</v>
      </c>
      <c r="C18" s="33" t="s">
        <v>198</v>
      </c>
      <c r="D18" s="33" t="s">
        <v>1</v>
      </c>
      <c r="E18" s="33" t="s">
        <v>212</v>
      </c>
      <c r="F18" s="33" t="s">
        <v>213</v>
      </c>
      <c r="G18" s="34">
        <v>105.20715</v>
      </c>
      <c r="H18" s="34">
        <v>10.76886</v>
      </c>
      <c r="I18" s="34">
        <v>105.20826</v>
      </c>
      <c r="J18" s="34">
        <v>10.766870000000001</v>
      </c>
      <c r="K18" s="33">
        <v>280</v>
      </c>
      <c r="L18" s="33"/>
      <c r="M18" s="13"/>
      <c r="N18" s="30">
        <v>1</v>
      </c>
      <c r="O18" s="13"/>
      <c r="P18" s="30"/>
      <c r="Q18" s="30">
        <v>1</v>
      </c>
      <c r="R18" s="17"/>
      <c r="S18" s="3" t="s">
        <v>638</v>
      </c>
      <c r="T18" s="47"/>
      <c r="U18" s="71">
        <v>1</v>
      </c>
      <c r="V18" s="74" t="s">
        <v>664</v>
      </c>
      <c r="W18" s="3" t="s">
        <v>740</v>
      </c>
    </row>
    <row r="19" spans="1:23" ht="18" x14ac:dyDescent="0.3">
      <c r="A19" s="19" t="s">
        <v>18</v>
      </c>
      <c r="B19" s="21">
        <v>14</v>
      </c>
      <c r="C19" s="33" t="s">
        <v>198</v>
      </c>
      <c r="D19" s="33" t="s">
        <v>1</v>
      </c>
      <c r="E19" s="33" t="s">
        <v>213</v>
      </c>
      <c r="F19" s="33" t="s">
        <v>214</v>
      </c>
      <c r="G19" s="34">
        <v>105.20826</v>
      </c>
      <c r="H19" s="34">
        <v>10.766870000000001</v>
      </c>
      <c r="I19" s="34">
        <v>105.20891</v>
      </c>
      <c r="J19" s="34">
        <v>10.76577</v>
      </c>
      <c r="K19" s="33">
        <v>200</v>
      </c>
      <c r="L19" s="33"/>
      <c r="M19" s="13"/>
      <c r="N19" s="30"/>
      <c r="O19" s="13"/>
      <c r="P19" s="30"/>
      <c r="Q19" s="30">
        <v>1</v>
      </c>
      <c r="R19" s="17"/>
      <c r="S19" s="3" t="s">
        <v>638</v>
      </c>
      <c r="T19" s="47"/>
      <c r="U19" s="71">
        <v>1</v>
      </c>
      <c r="V19" s="74" t="s">
        <v>664</v>
      </c>
      <c r="W19" s="3" t="s">
        <v>740</v>
      </c>
    </row>
    <row r="20" spans="1:23" ht="18" x14ac:dyDescent="0.3">
      <c r="A20" s="19" t="s">
        <v>18</v>
      </c>
      <c r="B20" s="21">
        <v>15</v>
      </c>
      <c r="C20" s="33" t="s">
        <v>198</v>
      </c>
      <c r="D20" s="72" t="s">
        <v>1</v>
      </c>
      <c r="E20" s="33" t="s">
        <v>214</v>
      </c>
      <c r="F20" s="33" t="s">
        <v>215</v>
      </c>
      <c r="G20" s="34">
        <v>105.20891</v>
      </c>
      <c r="H20" s="34">
        <v>10.76577</v>
      </c>
      <c r="I20" s="34">
        <v>105.20950999999999</v>
      </c>
      <c r="J20" s="34">
        <v>10.764709999999999</v>
      </c>
      <c r="K20" s="33">
        <v>190</v>
      </c>
      <c r="L20" s="33"/>
      <c r="M20" s="13"/>
      <c r="N20" s="30"/>
      <c r="O20" s="13"/>
      <c r="P20" s="30"/>
      <c r="Q20" s="30">
        <v>1</v>
      </c>
      <c r="R20" s="17"/>
      <c r="S20" s="3" t="s">
        <v>638</v>
      </c>
      <c r="T20" s="47"/>
      <c r="U20" s="71">
        <v>1</v>
      </c>
      <c r="V20" s="74" t="s">
        <v>664</v>
      </c>
      <c r="W20" s="3" t="s">
        <v>740</v>
      </c>
    </row>
    <row r="21" spans="1:23" ht="18" x14ac:dyDescent="0.3">
      <c r="A21" s="19" t="s">
        <v>18</v>
      </c>
      <c r="B21" s="21">
        <v>16</v>
      </c>
      <c r="C21" s="33" t="s">
        <v>198</v>
      </c>
      <c r="D21" s="72" t="s">
        <v>1</v>
      </c>
      <c r="E21" s="33" t="s">
        <v>215</v>
      </c>
      <c r="F21" s="33" t="s">
        <v>216</v>
      </c>
      <c r="G21" s="34">
        <v>105.20950999999999</v>
      </c>
      <c r="H21" s="34">
        <v>10.764709999999999</v>
      </c>
      <c r="I21" s="34">
        <v>105.2105</v>
      </c>
      <c r="J21" s="34">
        <v>10.76295</v>
      </c>
      <c r="K21" s="33">
        <v>280</v>
      </c>
      <c r="L21" s="33"/>
      <c r="M21" s="13"/>
      <c r="N21" s="30"/>
      <c r="O21" s="13"/>
      <c r="P21" s="30"/>
      <c r="Q21" s="30">
        <v>1</v>
      </c>
      <c r="R21" s="17"/>
      <c r="S21" s="3" t="s">
        <v>638</v>
      </c>
      <c r="T21" s="47"/>
      <c r="U21" s="71">
        <v>1</v>
      </c>
      <c r="V21" s="74" t="s">
        <v>664</v>
      </c>
      <c r="W21" s="3" t="s">
        <v>740</v>
      </c>
    </row>
    <row r="22" spans="1:23" ht="18" x14ac:dyDescent="0.3">
      <c r="A22" s="19" t="s">
        <v>18</v>
      </c>
      <c r="B22" s="21">
        <v>17</v>
      </c>
      <c r="C22" s="33" t="s">
        <v>198</v>
      </c>
      <c r="D22" s="72" t="s">
        <v>1</v>
      </c>
      <c r="E22" s="33" t="s">
        <v>216</v>
      </c>
      <c r="F22" s="33" t="s">
        <v>217</v>
      </c>
      <c r="G22" s="34">
        <v>105.2105</v>
      </c>
      <c r="H22" s="34">
        <v>10.76295</v>
      </c>
      <c r="I22" s="34">
        <v>105.21212</v>
      </c>
      <c r="J22" s="34">
        <v>10.760070000000001</v>
      </c>
      <c r="K22" s="33">
        <v>360</v>
      </c>
      <c r="L22" s="33"/>
      <c r="M22" s="13"/>
      <c r="N22" s="30">
        <v>1</v>
      </c>
      <c r="O22" s="13"/>
      <c r="P22" s="30"/>
      <c r="Q22" s="30">
        <v>1</v>
      </c>
      <c r="R22" s="17"/>
      <c r="S22" s="3" t="s">
        <v>638</v>
      </c>
      <c r="T22" s="47"/>
      <c r="U22" s="71">
        <v>1</v>
      </c>
      <c r="V22" s="74" t="s">
        <v>664</v>
      </c>
      <c r="W22" s="3" t="s">
        <v>740</v>
      </c>
    </row>
    <row r="23" spans="1:23" ht="18" x14ac:dyDescent="0.3">
      <c r="A23" s="19" t="s">
        <v>18</v>
      </c>
      <c r="B23" s="21">
        <v>18</v>
      </c>
      <c r="C23" s="33" t="s">
        <v>198</v>
      </c>
      <c r="D23" s="72" t="s">
        <v>1</v>
      </c>
      <c r="E23" s="33" t="s">
        <v>218</v>
      </c>
      <c r="F23" s="33" t="s">
        <v>219</v>
      </c>
      <c r="G23" s="34">
        <v>105.22472</v>
      </c>
      <c r="H23" s="34">
        <v>10.785781999999999</v>
      </c>
      <c r="I23" s="34">
        <v>105.22367</v>
      </c>
      <c r="J23" s="34">
        <v>10.784840000000001</v>
      </c>
      <c r="K23" s="33">
        <v>180</v>
      </c>
      <c r="L23" s="33"/>
      <c r="M23" s="13"/>
      <c r="N23" s="30"/>
      <c r="O23" s="13"/>
      <c r="P23" s="30"/>
      <c r="Q23" s="30">
        <v>1</v>
      </c>
      <c r="R23" s="17"/>
      <c r="S23" s="3" t="s">
        <v>639</v>
      </c>
      <c r="T23" s="47"/>
      <c r="U23" s="71">
        <v>1</v>
      </c>
      <c r="V23" s="74" t="s">
        <v>664</v>
      </c>
      <c r="W23" s="3" t="s">
        <v>741</v>
      </c>
    </row>
    <row r="24" spans="1:23" ht="18" x14ac:dyDescent="0.3">
      <c r="A24" s="19" t="s">
        <v>18</v>
      </c>
      <c r="B24" s="21">
        <v>19</v>
      </c>
      <c r="C24" s="33" t="s">
        <v>198</v>
      </c>
      <c r="D24" s="72" t="s">
        <v>1</v>
      </c>
      <c r="E24" s="33" t="s">
        <v>219</v>
      </c>
      <c r="F24" s="33" t="s">
        <v>220</v>
      </c>
      <c r="G24" s="34">
        <v>105.22367</v>
      </c>
      <c r="H24" s="34">
        <v>10.784840000000001</v>
      </c>
      <c r="I24" s="34">
        <v>105.22226999999999</v>
      </c>
      <c r="J24" s="34">
        <v>10.7836</v>
      </c>
      <c r="K24" s="33">
        <v>270</v>
      </c>
      <c r="L24" s="33"/>
      <c r="M24" s="13"/>
      <c r="N24" s="30">
        <v>1</v>
      </c>
      <c r="O24" s="13"/>
      <c r="P24" s="30"/>
      <c r="Q24" s="30">
        <v>1</v>
      </c>
      <c r="R24" s="17"/>
      <c r="S24" s="3" t="s">
        <v>639</v>
      </c>
      <c r="T24" s="47"/>
      <c r="U24" s="71">
        <v>1</v>
      </c>
      <c r="V24" s="74" t="s">
        <v>664</v>
      </c>
      <c r="W24" s="3" t="s">
        <v>741</v>
      </c>
    </row>
    <row r="25" spans="1:23" ht="18" x14ac:dyDescent="0.3">
      <c r="A25" s="19" t="s">
        <v>19</v>
      </c>
      <c r="B25" s="21">
        <v>20</v>
      </c>
      <c r="C25" s="33" t="s">
        <v>198</v>
      </c>
      <c r="D25" s="72" t="s">
        <v>1</v>
      </c>
      <c r="E25" s="33" t="s">
        <v>220</v>
      </c>
      <c r="F25" s="33" t="s">
        <v>221</v>
      </c>
      <c r="G25" s="34">
        <v>105.22226999999999</v>
      </c>
      <c r="H25" s="34">
        <v>10.7836</v>
      </c>
      <c r="I25" s="34">
        <v>105.22091</v>
      </c>
      <c r="J25" s="34">
        <v>10.78242</v>
      </c>
      <c r="K25" s="33">
        <v>220</v>
      </c>
      <c r="L25" s="33"/>
      <c r="M25" s="13"/>
      <c r="N25" s="30"/>
      <c r="O25" s="13"/>
      <c r="P25" s="30"/>
      <c r="Q25" s="30">
        <v>1</v>
      </c>
      <c r="R25" s="17"/>
      <c r="S25" s="3" t="s">
        <v>639</v>
      </c>
      <c r="T25" s="47"/>
      <c r="U25" s="71">
        <v>1</v>
      </c>
      <c r="V25" s="74" t="s">
        <v>664</v>
      </c>
      <c r="W25" s="3" t="s">
        <v>741</v>
      </c>
    </row>
    <row r="26" spans="1:23" ht="18" x14ac:dyDescent="0.3">
      <c r="A26" s="19" t="s">
        <v>19</v>
      </c>
      <c r="B26" s="21">
        <v>21</v>
      </c>
      <c r="C26" s="33" t="s">
        <v>198</v>
      </c>
      <c r="D26" s="72" t="s">
        <v>1</v>
      </c>
      <c r="E26" s="33" t="s">
        <v>221</v>
      </c>
      <c r="F26" s="33" t="s">
        <v>222</v>
      </c>
      <c r="G26" s="34">
        <v>105.22091</v>
      </c>
      <c r="H26" s="34">
        <v>10.78242</v>
      </c>
      <c r="I26" s="34">
        <v>105.21987</v>
      </c>
      <c r="J26" s="34">
        <v>10.781510000000001</v>
      </c>
      <c r="K26" s="33">
        <v>180</v>
      </c>
      <c r="L26" s="33"/>
      <c r="M26" s="13"/>
      <c r="N26" s="30"/>
      <c r="O26" s="13"/>
      <c r="P26" s="30"/>
      <c r="Q26" s="30">
        <v>1</v>
      </c>
      <c r="R26" s="17"/>
      <c r="S26" s="3" t="s">
        <v>639</v>
      </c>
      <c r="T26" s="47"/>
      <c r="U26" s="71">
        <v>1</v>
      </c>
      <c r="V26" s="74" t="s">
        <v>664</v>
      </c>
      <c r="W26" s="3" t="s">
        <v>741</v>
      </c>
    </row>
    <row r="27" spans="1:23" ht="18" x14ac:dyDescent="0.3">
      <c r="A27" s="19" t="s">
        <v>19</v>
      </c>
      <c r="B27" s="21">
        <v>22</v>
      </c>
      <c r="C27" s="33" t="s">
        <v>198</v>
      </c>
      <c r="D27" s="72" t="s">
        <v>640</v>
      </c>
      <c r="E27" s="33" t="s">
        <v>641</v>
      </c>
      <c r="F27" s="33" t="s">
        <v>642</v>
      </c>
      <c r="G27" s="34">
        <v>105.17368</v>
      </c>
      <c r="H27" s="34">
        <v>10.79003</v>
      </c>
      <c r="I27" s="34">
        <v>105.17205</v>
      </c>
      <c r="J27" s="34">
        <v>10.78876</v>
      </c>
      <c r="K27" s="33">
        <v>280</v>
      </c>
      <c r="L27" s="33"/>
      <c r="M27" s="13"/>
      <c r="N27" s="30"/>
      <c r="O27" s="13"/>
      <c r="P27" s="30"/>
      <c r="Q27" s="30">
        <v>1</v>
      </c>
      <c r="R27" s="17"/>
      <c r="S27" s="3" t="s">
        <v>638</v>
      </c>
      <c r="T27" s="47"/>
      <c r="U27" s="71">
        <v>1</v>
      </c>
      <c r="V27" s="74" t="s">
        <v>664</v>
      </c>
      <c r="W27" s="3" t="s">
        <v>742</v>
      </c>
    </row>
    <row r="28" spans="1:23" ht="18" x14ac:dyDescent="0.3">
      <c r="A28" s="19" t="s">
        <v>19</v>
      </c>
      <c r="B28" s="21">
        <v>23</v>
      </c>
      <c r="C28" s="33" t="s">
        <v>198</v>
      </c>
      <c r="D28" s="72" t="s">
        <v>640</v>
      </c>
      <c r="E28" s="33" t="s">
        <v>642</v>
      </c>
      <c r="F28" s="33" t="s">
        <v>643</v>
      </c>
      <c r="G28" s="34">
        <v>105.17205</v>
      </c>
      <c r="H28" s="73">
        <v>10.78876</v>
      </c>
      <c r="I28" s="34">
        <v>105.17021</v>
      </c>
      <c r="J28" s="34">
        <v>10.7883</v>
      </c>
      <c r="K28" s="33">
        <v>230</v>
      </c>
      <c r="L28" s="33"/>
      <c r="M28" s="13"/>
      <c r="N28" s="30">
        <v>1</v>
      </c>
      <c r="O28" s="13"/>
      <c r="P28" s="30"/>
      <c r="Q28" s="30">
        <v>1</v>
      </c>
      <c r="R28" s="17"/>
      <c r="S28" s="3" t="s">
        <v>638</v>
      </c>
      <c r="T28" s="47"/>
      <c r="U28" s="71">
        <v>1</v>
      </c>
      <c r="V28" s="74" t="s">
        <v>664</v>
      </c>
      <c r="W28" s="3" t="s">
        <v>742</v>
      </c>
    </row>
    <row r="29" spans="1:23" ht="18" x14ac:dyDescent="0.3">
      <c r="A29" s="19" t="s">
        <v>20</v>
      </c>
      <c r="B29" s="21">
        <v>24</v>
      </c>
      <c r="C29" s="33" t="s">
        <v>198</v>
      </c>
      <c r="D29" s="72" t="s">
        <v>640</v>
      </c>
      <c r="E29" s="33" t="s">
        <v>643</v>
      </c>
      <c r="F29" s="33" t="s">
        <v>644</v>
      </c>
      <c r="G29" s="34">
        <v>105.17021</v>
      </c>
      <c r="H29" s="34">
        <v>10.7883</v>
      </c>
      <c r="I29" s="34">
        <v>105.16866</v>
      </c>
      <c r="J29" s="34">
        <v>10.78792</v>
      </c>
      <c r="K29" s="33">
        <v>215</v>
      </c>
      <c r="L29" s="33"/>
      <c r="M29" s="13"/>
      <c r="N29" s="30"/>
      <c r="O29" s="13"/>
      <c r="P29" s="30"/>
      <c r="Q29" s="30">
        <v>1</v>
      </c>
      <c r="R29" s="17"/>
      <c r="S29" s="3" t="s">
        <v>638</v>
      </c>
      <c r="T29" s="47"/>
      <c r="U29" s="71">
        <v>1</v>
      </c>
      <c r="V29" s="74" t="s">
        <v>664</v>
      </c>
      <c r="W29" s="3" t="s">
        <v>742</v>
      </c>
    </row>
    <row r="30" spans="1:23" ht="18" x14ac:dyDescent="0.3">
      <c r="A30" s="19" t="s">
        <v>20</v>
      </c>
      <c r="B30" s="21">
        <v>25</v>
      </c>
      <c r="C30" s="33" t="s">
        <v>198</v>
      </c>
      <c r="D30" s="72" t="s">
        <v>640</v>
      </c>
      <c r="E30" s="33" t="s">
        <v>644</v>
      </c>
      <c r="F30" s="33" t="s">
        <v>645</v>
      </c>
      <c r="G30" s="34">
        <v>105.16866</v>
      </c>
      <c r="H30" s="34">
        <v>10.78792</v>
      </c>
      <c r="I30" s="34">
        <v>105.16665</v>
      </c>
      <c r="J30" s="34">
        <v>10.78759</v>
      </c>
      <c r="K30" s="33">
        <v>265</v>
      </c>
      <c r="L30" s="33"/>
      <c r="M30" s="13"/>
      <c r="N30" s="30"/>
      <c r="O30" s="13"/>
      <c r="P30" s="30"/>
      <c r="Q30" s="30">
        <v>1</v>
      </c>
      <c r="R30" s="17"/>
      <c r="S30" s="3" t="s">
        <v>638</v>
      </c>
      <c r="T30" s="47"/>
      <c r="U30" s="71">
        <v>1</v>
      </c>
      <c r="V30" s="74" t="s">
        <v>664</v>
      </c>
      <c r="W30" s="3" t="s">
        <v>742</v>
      </c>
    </row>
    <row r="31" spans="1:23" ht="18" x14ac:dyDescent="0.3">
      <c r="A31" s="19" t="s">
        <v>20</v>
      </c>
      <c r="B31" s="21">
        <v>26</v>
      </c>
      <c r="C31" s="33" t="s">
        <v>198</v>
      </c>
      <c r="D31" s="72" t="s">
        <v>640</v>
      </c>
      <c r="E31" s="33" t="s">
        <v>645</v>
      </c>
      <c r="F31" s="33" t="s">
        <v>646</v>
      </c>
      <c r="G31" s="34">
        <v>105.16665</v>
      </c>
      <c r="H31" s="34">
        <v>10.78759</v>
      </c>
      <c r="I31" s="34">
        <v>105.16374</v>
      </c>
      <c r="J31" s="34">
        <v>10.785629999999999</v>
      </c>
      <c r="K31" s="33">
        <v>420</v>
      </c>
      <c r="L31" s="33"/>
      <c r="M31" s="13"/>
      <c r="N31" s="30"/>
      <c r="O31" s="13"/>
      <c r="P31" s="30"/>
      <c r="Q31" s="30">
        <v>1</v>
      </c>
      <c r="R31" s="17"/>
      <c r="S31" s="3" t="s">
        <v>638</v>
      </c>
      <c r="T31" s="47"/>
      <c r="U31" s="71">
        <v>1</v>
      </c>
      <c r="V31" s="74" t="s">
        <v>664</v>
      </c>
      <c r="W31" s="3" t="s">
        <v>742</v>
      </c>
    </row>
    <row r="32" spans="1:23" ht="18" x14ac:dyDescent="0.3">
      <c r="A32" s="19" t="s">
        <v>20</v>
      </c>
      <c r="B32" s="21">
        <v>27</v>
      </c>
      <c r="C32" s="33" t="s">
        <v>198</v>
      </c>
      <c r="D32" s="72" t="s">
        <v>640</v>
      </c>
      <c r="E32" s="33" t="s">
        <v>646</v>
      </c>
      <c r="F32" s="33" t="s">
        <v>647</v>
      </c>
      <c r="G32" s="34">
        <v>105.16374</v>
      </c>
      <c r="H32" s="34">
        <v>10.785629999999999</v>
      </c>
      <c r="I32" s="34">
        <v>105.16189</v>
      </c>
      <c r="J32" s="34">
        <v>10.784459999999999</v>
      </c>
      <c r="K32" s="33">
        <v>280</v>
      </c>
      <c r="L32" s="33"/>
      <c r="M32" s="13"/>
      <c r="N32" s="30">
        <v>1</v>
      </c>
      <c r="O32" s="13"/>
      <c r="P32" s="30"/>
      <c r="Q32" s="30">
        <v>1</v>
      </c>
      <c r="R32" s="17"/>
      <c r="S32" s="3" t="s">
        <v>638</v>
      </c>
      <c r="T32" s="47"/>
      <c r="U32" s="71">
        <v>1</v>
      </c>
      <c r="V32" s="74" t="s">
        <v>664</v>
      </c>
      <c r="W32" s="3" t="s">
        <v>742</v>
      </c>
    </row>
    <row r="33" spans="1:23" ht="18" x14ac:dyDescent="0.3">
      <c r="A33" s="19" t="s">
        <v>20</v>
      </c>
      <c r="B33" s="21">
        <v>28</v>
      </c>
      <c r="C33" s="33" t="s">
        <v>198</v>
      </c>
      <c r="D33" s="72" t="s">
        <v>640</v>
      </c>
      <c r="E33" s="33" t="s">
        <v>647</v>
      </c>
      <c r="F33" s="33" t="s">
        <v>648</v>
      </c>
      <c r="G33" s="34">
        <v>105.16189</v>
      </c>
      <c r="H33" s="34">
        <v>10.784459999999999</v>
      </c>
      <c r="I33" s="34">
        <v>105.15843</v>
      </c>
      <c r="J33" s="34">
        <v>10.78218</v>
      </c>
      <c r="K33" s="33">
        <v>540</v>
      </c>
      <c r="L33" s="33"/>
      <c r="M33" s="13"/>
      <c r="N33" s="30"/>
      <c r="O33" s="13"/>
      <c r="P33" s="30"/>
      <c r="Q33" s="30">
        <v>1</v>
      </c>
      <c r="R33" s="17"/>
      <c r="S33" s="3" t="s">
        <v>638</v>
      </c>
      <c r="T33" s="47"/>
      <c r="U33" s="71">
        <v>1</v>
      </c>
      <c r="V33" s="74" t="s">
        <v>664</v>
      </c>
      <c r="W33" s="3" t="s">
        <v>742</v>
      </c>
    </row>
    <row r="34" spans="1:23" ht="18" x14ac:dyDescent="0.3">
      <c r="A34" s="19" t="s">
        <v>20</v>
      </c>
      <c r="B34" s="21">
        <v>29</v>
      </c>
      <c r="C34" s="33" t="s">
        <v>198</v>
      </c>
      <c r="D34" s="72" t="s">
        <v>640</v>
      </c>
      <c r="E34" s="33" t="s">
        <v>648</v>
      </c>
      <c r="F34" s="33" t="s">
        <v>649</v>
      </c>
      <c r="G34" s="34">
        <v>105.15843</v>
      </c>
      <c r="H34" s="34">
        <v>10.78218</v>
      </c>
      <c r="I34" s="34">
        <v>105.15683</v>
      </c>
      <c r="J34" s="34">
        <v>10.781140000000001</v>
      </c>
      <c r="K34" s="33">
        <v>240</v>
      </c>
      <c r="L34" s="33"/>
      <c r="M34" s="13"/>
      <c r="N34" s="30"/>
      <c r="O34" s="13"/>
      <c r="P34" s="30"/>
      <c r="Q34" s="30">
        <v>1</v>
      </c>
      <c r="R34" s="17"/>
      <c r="S34" s="3" t="s">
        <v>638</v>
      </c>
      <c r="T34" s="47"/>
      <c r="U34" s="71">
        <v>1</v>
      </c>
      <c r="V34" s="74" t="s">
        <v>664</v>
      </c>
      <c r="W34" s="3" t="s">
        <v>742</v>
      </c>
    </row>
    <row r="35" spans="1:23" ht="18" x14ac:dyDescent="0.3">
      <c r="A35" s="19" t="s">
        <v>20</v>
      </c>
      <c r="B35" s="21">
        <v>30</v>
      </c>
      <c r="C35" s="33" t="s">
        <v>198</v>
      </c>
      <c r="D35" s="72" t="s">
        <v>640</v>
      </c>
      <c r="E35" s="33" t="s">
        <v>649</v>
      </c>
      <c r="F35" s="33" t="s">
        <v>650</v>
      </c>
      <c r="G35" s="34">
        <v>105.15683</v>
      </c>
      <c r="H35" s="34">
        <v>10.781140000000001</v>
      </c>
      <c r="I35" s="34">
        <v>105.15389</v>
      </c>
      <c r="J35" s="34">
        <v>10.779730000000001</v>
      </c>
      <c r="K35" s="33">
        <v>380</v>
      </c>
      <c r="L35" s="33"/>
      <c r="M35" s="13"/>
      <c r="N35" s="30"/>
      <c r="O35" s="13"/>
      <c r="P35" s="30"/>
      <c r="Q35" s="30">
        <v>1</v>
      </c>
      <c r="R35" s="17"/>
      <c r="S35" s="3" t="s">
        <v>638</v>
      </c>
      <c r="T35" s="47"/>
      <c r="U35" s="71">
        <v>1</v>
      </c>
      <c r="V35" s="74" t="s">
        <v>664</v>
      </c>
      <c r="W35" s="3" t="s">
        <v>742</v>
      </c>
    </row>
    <row r="36" spans="1:23" ht="18" x14ac:dyDescent="0.3">
      <c r="A36" s="19" t="s">
        <v>20</v>
      </c>
      <c r="B36" s="21">
        <v>31</v>
      </c>
      <c r="C36" s="33" t="s">
        <v>198</v>
      </c>
      <c r="D36" s="72" t="s">
        <v>640</v>
      </c>
      <c r="E36" s="33" t="s">
        <v>650</v>
      </c>
      <c r="F36" s="33" t="s">
        <v>651</v>
      </c>
      <c r="G36" s="34">
        <v>105.15389</v>
      </c>
      <c r="H36" s="34">
        <v>10.779730000000001</v>
      </c>
      <c r="I36" s="34">
        <v>105.15188000000001</v>
      </c>
      <c r="J36" s="34">
        <v>10.778689999999999</v>
      </c>
      <c r="K36" s="33">
        <v>270</v>
      </c>
      <c r="L36" s="33"/>
      <c r="M36" s="13"/>
      <c r="N36" s="30">
        <v>1</v>
      </c>
      <c r="O36" s="13"/>
      <c r="P36" s="30"/>
      <c r="Q36" s="30">
        <v>1</v>
      </c>
      <c r="R36" s="17"/>
      <c r="S36" s="3" t="s">
        <v>638</v>
      </c>
      <c r="T36" s="47"/>
      <c r="U36" s="71">
        <v>1</v>
      </c>
      <c r="V36" s="74" t="s">
        <v>664</v>
      </c>
      <c r="W36" s="3" t="s">
        <v>742</v>
      </c>
    </row>
    <row r="37" spans="1:23" ht="18" x14ac:dyDescent="0.3">
      <c r="A37" s="19" t="s">
        <v>20</v>
      </c>
      <c r="B37" s="21">
        <v>32</v>
      </c>
      <c r="C37" s="33" t="s">
        <v>198</v>
      </c>
      <c r="D37" s="72" t="s">
        <v>640</v>
      </c>
      <c r="E37" s="33" t="s">
        <v>651</v>
      </c>
      <c r="F37" s="33" t="s">
        <v>652</v>
      </c>
      <c r="G37" s="34">
        <v>105.15188000000001</v>
      </c>
      <c r="H37" s="34">
        <v>10.778689999999999</v>
      </c>
      <c r="I37" s="34">
        <v>105.14972</v>
      </c>
      <c r="J37" s="34">
        <v>10.7774</v>
      </c>
      <c r="K37" s="33">
        <v>310</v>
      </c>
      <c r="L37" s="33"/>
      <c r="M37" s="13"/>
      <c r="N37" s="30"/>
      <c r="O37" s="13"/>
      <c r="P37" s="30"/>
      <c r="Q37" s="30">
        <v>1</v>
      </c>
      <c r="R37" s="17"/>
      <c r="S37" s="3" t="s">
        <v>638</v>
      </c>
      <c r="T37" s="47"/>
      <c r="U37" s="71">
        <v>1</v>
      </c>
      <c r="V37" s="74" t="s">
        <v>664</v>
      </c>
      <c r="W37" s="3" t="s">
        <v>742</v>
      </c>
    </row>
    <row r="38" spans="1:23" ht="18" x14ac:dyDescent="0.3">
      <c r="A38" s="19" t="s">
        <v>20</v>
      </c>
      <c r="B38" s="21">
        <v>33</v>
      </c>
      <c r="C38" s="33" t="s">
        <v>198</v>
      </c>
      <c r="D38" s="72" t="s">
        <v>2</v>
      </c>
      <c r="E38" s="33" t="s">
        <v>653</v>
      </c>
      <c r="F38" s="33" t="s">
        <v>654</v>
      </c>
      <c r="G38" s="34">
        <v>105.152494</v>
      </c>
      <c r="H38" s="34">
        <v>10.728923</v>
      </c>
      <c r="I38" s="34">
        <v>105.15129</v>
      </c>
      <c r="J38" s="34">
        <v>10.729100000000001</v>
      </c>
      <c r="K38" s="33">
        <v>190</v>
      </c>
      <c r="L38" s="33"/>
      <c r="M38" s="13"/>
      <c r="N38" s="30"/>
      <c r="O38" s="13"/>
      <c r="P38" s="30"/>
      <c r="Q38" s="30">
        <v>1</v>
      </c>
      <c r="R38" s="17"/>
      <c r="S38" s="3" t="s">
        <v>638</v>
      </c>
      <c r="T38" s="47"/>
      <c r="U38" s="71">
        <v>1</v>
      </c>
      <c r="V38" s="74" t="s">
        <v>664</v>
      </c>
      <c r="W38" s="3" t="s">
        <v>740</v>
      </c>
    </row>
    <row r="39" spans="1:23" ht="18" x14ac:dyDescent="0.3">
      <c r="A39" s="19" t="s">
        <v>20</v>
      </c>
      <c r="B39" s="21">
        <v>34</v>
      </c>
      <c r="C39" s="33" t="s">
        <v>198</v>
      </c>
      <c r="D39" s="72" t="s">
        <v>2</v>
      </c>
      <c r="E39" s="33" t="s">
        <v>654</v>
      </c>
      <c r="F39" s="33" t="s">
        <v>655</v>
      </c>
      <c r="G39" s="34">
        <v>105.15129</v>
      </c>
      <c r="H39" s="34">
        <v>10.729100000000001</v>
      </c>
      <c r="I39" s="34">
        <v>105.15385000000001</v>
      </c>
      <c r="J39" s="34">
        <v>10.73015</v>
      </c>
      <c r="K39" s="33">
        <v>70</v>
      </c>
      <c r="L39" s="33"/>
      <c r="M39" s="13"/>
      <c r="N39" s="30">
        <v>1</v>
      </c>
      <c r="O39" s="13"/>
      <c r="P39" s="30"/>
      <c r="Q39" s="30">
        <v>1</v>
      </c>
      <c r="R39" s="30"/>
      <c r="S39" s="3" t="s">
        <v>638</v>
      </c>
      <c r="T39" s="47"/>
      <c r="U39" s="71">
        <v>1</v>
      </c>
      <c r="V39" s="74" t="s">
        <v>664</v>
      </c>
      <c r="W39" s="3" t="s">
        <v>740</v>
      </c>
    </row>
    <row r="40" spans="1:23" ht="18" x14ac:dyDescent="0.3">
      <c r="A40" s="19" t="s">
        <v>20</v>
      </c>
      <c r="B40" s="21">
        <v>35</v>
      </c>
      <c r="C40" s="33" t="s">
        <v>198</v>
      </c>
      <c r="D40" s="72" t="s">
        <v>2</v>
      </c>
      <c r="E40" s="33" t="s">
        <v>655</v>
      </c>
      <c r="F40" s="33" t="s">
        <v>656</v>
      </c>
      <c r="G40" s="34">
        <v>105.15385000000001</v>
      </c>
      <c r="H40" s="34">
        <v>10.73015</v>
      </c>
      <c r="I40" s="34">
        <v>105.15385000000001</v>
      </c>
      <c r="J40" s="34">
        <v>10.73015</v>
      </c>
      <c r="K40" s="33">
        <v>190</v>
      </c>
      <c r="L40" s="33"/>
      <c r="M40" s="13"/>
      <c r="N40" s="30"/>
      <c r="O40" s="13"/>
      <c r="P40" s="30"/>
      <c r="Q40" s="30">
        <v>1</v>
      </c>
      <c r="R40" s="30"/>
      <c r="S40" s="3" t="s">
        <v>638</v>
      </c>
      <c r="T40" s="47"/>
      <c r="U40" s="71">
        <v>1</v>
      </c>
      <c r="V40" s="74" t="s">
        <v>664</v>
      </c>
      <c r="W40" s="3" t="s">
        <v>740</v>
      </c>
    </row>
    <row r="41" spans="1:23" ht="18" x14ac:dyDescent="0.3">
      <c r="A41" s="19" t="s">
        <v>20</v>
      </c>
      <c r="B41" s="21">
        <v>36</v>
      </c>
      <c r="C41" s="33" t="s">
        <v>198</v>
      </c>
      <c r="D41" s="72" t="s">
        <v>2</v>
      </c>
      <c r="E41" s="33" t="s">
        <v>656</v>
      </c>
      <c r="F41" s="33" t="s">
        <v>657</v>
      </c>
      <c r="G41" s="34">
        <v>105.15385000000001</v>
      </c>
      <c r="H41" s="34">
        <v>10.73015</v>
      </c>
      <c r="I41" s="34">
        <v>105.15482</v>
      </c>
      <c r="J41" s="34">
        <v>10.73054</v>
      </c>
      <c r="K41" s="33">
        <v>130</v>
      </c>
      <c r="L41" s="33"/>
      <c r="M41" s="13"/>
      <c r="N41" s="30"/>
      <c r="O41" s="13"/>
      <c r="P41" s="30"/>
      <c r="Q41" s="30">
        <v>1</v>
      </c>
      <c r="R41" s="30"/>
      <c r="S41" s="3" t="s">
        <v>638</v>
      </c>
      <c r="T41" s="47"/>
      <c r="U41" s="71">
        <v>1</v>
      </c>
      <c r="V41" s="74" t="s">
        <v>664</v>
      </c>
      <c r="W41" s="3" t="s">
        <v>740</v>
      </c>
    </row>
    <row r="42" spans="1:23" ht="18" x14ac:dyDescent="0.3">
      <c r="A42" s="19" t="s">
        <v>20</v>
      </c>
      <c r="B42" s="21">
        <v>37</v>
      </c>
      <c r="C42" s="33" t="s">
        <v>198</v>
      </c>
      <c r="D42" s="72" t="s">
        <v>2</v>
      </c>
      <c r="E42" s="33" t="s">
        <v>657</v>
      </c>
      <c r="F42" s="33" t="s">
        <v>658</v>
      </c>
      <c r="G42" s="34">
        <v>105.15482</v>
      </c>
      <c r="H42" s="34">
        <v>10.73054</v>
      </c>
      <c r="I42" s="34">
        <v>105.1559</v>
      </c>
      <c r="J42" s="34">
        <v>10.730980000000001</v>
      </c>
      <c r="K42" s="33">
        <v>130</v>
      </c>
      <c r="L42" s="33"/>
      <c r="M42" s="13"/>
      <c r="N42" s="30"/>
      <c r="O42" s="13"/>
      <c r="P42" s="30"/>
      <c r="Q42" s="30">
        <v>1</v>
      </c>
      <c r="R42" s="30"/>
      <c r="S42" s="3" t="s">
        <v>638</v>
      </c>
      <c r="T42" s="47"/>
      <c r="U42" s="71">
        <v>1</v>
      </c>
      <c r="V42" s="74" t="s">
        <v>664</v>
      </c>
      <c r="W42" s="3" t="s">
        <v>740</v>
      </c>
    </row>
    <row r="43" spans="1:23" ht="18" x14ac:dyDescent="0.3">
      <c r="A43" s="19" t="s">
        <v>20</v>
      </c>
      <c r="B43" s="21">
        <v>38</v>
      </c>
      <c r="C43" s="33" t="s">
        <v>198</v>
      </c>
      <c r="D43" s="72" t="s">
        <v>2</v>
      </c>
      <c r="E43" s="33" t="s">
        <v>658</v>
      </c>
      <c r="F43" s="33" t="s">
        <v>659</v>
      </c>
      <c r="G43" s="34">
        <v>105.1559</v>
      </c>
      <c r="H43" s="34">
        <v>10.730980000000001</v>
      </c>
      <c r="I43" s="34">
        <v>105.15728</v>
      </c>
      <c r="J43" s="34">
        <v>10.731590000000001</v>
      </c>
      <c r="K43" s="33">
        <v>170</v>
      </c>
      <c r="L43" s="33"/>
      <c r="M43" s="13"/>
      <c r="N43" s="30">
        <v>1</v>
      </c>
      <c r="O43" s="13"/>
      <c r="P43" s="30"/>
      <c r="Q43" s="30">
        <v>1</v>
      </c>
      <c r="R43" s="30"/>
      <c r="S43" s="3" t="s">
        <v>638</v>
      </c>
      <c r="T43" s="47"/>
      <c r="U43" s="71">
        <v>1</v>
      </c>
      <c r="V43" s="74" t="s">
        <v>664</v>
      </c>
      <c r="W43" s="3" t="s">
        <v>740</v>
      </c>
    </row>
    <row r="44" spans="1:23" ht="18" x14ac:dyDescent="0.3">
      <c r="A44" s="19" t="s">
        <v>20</v>
      </c>
      <c r="B44" s="21">
        <v>39</v>
      </c>
      <c r="C44" s="33" t="s">
        <v>198</v>
      </c>
      <c r="D44" s="72" t="s">
        <v>2</v>
      </c>
      <c r="E44" s="33" t="s">
        <v>659</v>
      </c>
      <c r="F44" s="33" t="s">
        <v>660</v>
      </c>
      <c r="G44" s="34">
        <v>105.15728</v>
      </c>
      <c r="H44" s="34">
        <v>10.731590000000001</v>
      </c>
      <c r="I44" s="34">
        <v>105.15979</v>
      </c>
      <c r="J44" s="34">
        <v>10.732559999999999</v>
      </c>
      <c r="K44" s="33">
        <v>60</v>
      </c>
      <c r="L44" s="33"/>
      <c r="M44" s="13"/>
      <c r="N44" s="30"/>
      <c r="O44" s="13"/>
      <c r="P44" s="30"/>
      <c r="Q44" s="30">
        <v>1</v>
      </c>
      <c r="R44" s="30"/>
      <c r="S44" s="3" t="s">
        <v>638</v>
      </c>
      <c r="T44" s="47"/>
      <c r="U44" s="71">
        <v>1</v>
      </c>
      <c r="V44" s="74" t="s">
        <v>664</v>
      </c>
      <c r="W44" s="3" t="s">
        <v>740</v>
      </c>
    </row>
  </sheetData>
  <autoFilter ref="A5:U44" xr:uid="{FA73EC76-6BCA-4D1E-BFCA-295C5791EDA9}"/>
  <mergeCells count="16">
    <mergeCell ref="V4:W4"/>
    <mergeCell ref="B1:U1"/>
    <mergeCell ref="B2:H2"/>
    <mergeCell ref="I2:J2"/>
    <mergeCell ref="S4:S5"/>
    <mergeCell ref="T4:T5"/>
    <mergeCell ref="U4:U5"/>
    <mergeCell ref="B3:H3"/>
    <mergeCell ref="I3:J3"/>
    <mergeCell ref="B4:B5"/>
    <mergeCell ref="C4:C5"/>
    <mergeCell ref="D4:D5"/>
    <mergeCell ref="E4:E5"/>
    <mergeCell ref="F4:F5"/>
    <mergeCell ref="G4:H4"/>
    <mergeCell ref="I4:J4"/>
  </mergeCells>
  <dataValidations count="1">
    <dataValidation type="list" allowBlank="1" showInputMessage="1" showErrorMessage="1" sqref="U6:U347" xr:uid="{138CA3F1-0F29-4F33-81DC-D389711E0EDB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BẢNG TỔNG HỢP</vt:lpstr>
      <vt:lpstr>ACU_OK</vt:lpstr>
      <vt:lpstr>APU_OK</vt:lpstr>
      <vt:lpstr>CĐC_OK</vt:lpstr>
      <vt:lpstr>CPU_OK</vt:lpstr>
      <vt:lpstr>PTN_OK</vt:lpstr>
      <vt:lpstr>TCU_OK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Phuong Thanh</dc:creator>
  <cp:lastModifiedBy>Dell's</cp:lastModifiedBy>
  <dcterms:created xsi:type="dcterms:W3CDTF">2026-02-05T06:46:21Z</dcterms:created>
  <dcterms:modified xsi:type="dcterms:W3CDTF">2026-04-10T02:06:49Z</dcterms:modified>
</cp:coreProperties>
</file>